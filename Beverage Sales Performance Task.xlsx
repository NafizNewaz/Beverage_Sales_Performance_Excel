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Analytics\Module 5\Assignment5\"/>
    </mc:Choice>
  </mc:AlternateContent>
  <xr:revisionPtr revIDLastSave="0" documentId="13_ncr:1_{AED81612-7748-45AD-9F00-FC97873B2337}" xr6:coauthVersionLast="47" xr6:coauthVersionMax="47" xr10:uidLastSave="{00000000-0000-0000-0000-000000000000}"/>
  <bookViews>
    <workbookView xWindow="-110" yWindow="-110" windowWidth="19420" windowHeight="10300" activeTab="2" xr2:uid="{85AD17C4-07A6-442A-8C63-B70575A54070}"/>
  </bookViews>
  <sheets>
    <sheet name="AppendQuery" sheetId="3" r:id="rId1"/>
    <sheet name="PivotTable" sheetId="5" r:id="rId2"/>
    <sheet name="Dashboard" sheetId="4" r:id="rId3"/>
  </sheets>
  <definedNames>
    <definedName name="ExternalData_2" localSheetId="0" hidden="1">AppendQuery!$A$1:$I$289</definedName>
    <definedName name="Slicer_Beverage_Brand">#N/A</definedName>
    <definedName name="Slicer_Months__Order_Date">#N/A</definedName>
    <definedName name="Slicer_Region__State">#N/A</definedName>
    <definedName name="Slicer_Retai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90" i="3" l="1"/>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6A47C6-1190-48F3-A4CE-70C4E3106FE8}"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4E29105B-7187-4224-82AD-5438CF7DE978}" keepAlive="1" name="Query - Data" description="Connection to the 'Data' query in the workbook." type="5" refreshedVersion="0" background="1">
    <dbPr connection="Provider=Microsoft.Mashup.OleDb.1;Data Source=$Workbook$;Location=Data;Extended Properties=&quot;&quot;" command="SELECT * FROM [Data]"/>
  </connection>
  <connection id="3" xr16:uid="{05B235F9-BE91-475D-A0C6-E2D5FB2567DC}" keepAlive="1" name="Query - Data (2)" description="Connection to the 'Data (2)' query in the workbook." type="5" refreshedVersion="0" background="1">
    <dbPr connection="Provider=Microsoft.Mashup.OleDb.1;Data Source=$Workbook$;Location=&quot;Data (2)&quot;;Extended Properties=&quot;&quot;" command="SELECT * FROM [Data (2)]"/>
  </connection>
  <connection id="4" xr16:uid="{50047A38-1D6C-44F4-873B-229990D29F8E}" keepAlive="1" name="Query - Data (3)" description="Connection to the 'Data (3)' query in the workbook." type="5" refreshedVersion="0" background="1">
    <dbPr connection="Provider=Microsoft.Mashup.OleDb.1;Data Source=$Workbook$;Location=&quot;Data (3)&quot;;Extended Properties=&quot;&quot;" command="SELECT * FROM [Data (3)]"/>
  </connection>
  <connection id="5" xr16:uid="{802D9034-2AB1-426C-BFBD-A3D852CFB9F5}" keepAlive="1" name="Query - Data (4)" description="Connection to the 'Data (4)' query in the workbook." type="5" refreshedVersion="0" background="1">
    <dbPr connection="Provider=Microsoft.Mashup.OleDb.1;Data Source=$Workbook$;Location=&quot;Data (4)&quot;;Extended Properties=&quot;&quot;" command="SELECT * FROM [Data (4)]"/>
  </connection>
</connections>
</file>

<file path=xl/sharedStrings.xml><?xml version="1.0" encoding="utf-8"?>
<sst xmlns="http://schemas.openxmlformats.org/spreadsheetml/2006/main" count="1233" uniqueCount="50">
  <si>
    <t>Retailer</t>
  </si>
  <si>
    <t>Contact</t>
  </si>
  <si>
    <t>Retailer ID</t>
  </si>
  <si>
    <t>Order Date</t>
  </si>
  <si>
    <t>Payment Date</t>
  </si>
  <si>
    <t>Region--State</t>
  </si>
  <si>
    <t>Beverage Brand</t>
  </si>
  <si>
    <t>Price per Unit</t>
  </si>
  <si>
    <t>Units Sold</t>
  </si>
  <si>
    <t>Walmart</t>
  </si>
  <si>
    <t>Allen -Walmart</t>
  </si>
  <si>
    <t>Northeast--New York</t>
  </si>
  <si>
    <t>Coca-Cola</t>
  </si>
  <si>
    <t>Diet Coke</t>
  </si>
  <si>
    <t>Sprite</t>
  </si>
  <si>
    <t>Fanta</t>
  </si>
  <si>
    <t>Powerade</t>
  </si>
  <si>
    <t>Dasani Water</t>
  </si>
  <si>
    <t>Costco</t>
  </si>
  <si>
    <t>Ana -Costco</t>
  </si>
  <si>
    <t>West--California</t>
  </si>
  <si>
    <t>Target</t>
  </si>
  <si>
    <t>Stuart -Target</t>
  </si>
  <si>
    <t>South--Texas</t>
  </si>
  <si>
    <t>Walgreens</t>
  </si>
  <si>
    <t>Maria -Walgreens</t>
  </si>
  <si>
    <t>Revenue</t>
  </si>
  <si>
    <t>Grand Total</t>
  </si>
  <si>
    <t>Sum of Revenue</t>
  </si>
  <si>
    <t>Sum of Units Sold</t>
  </si>
  <si>
    <t>Mar</t>
  </si>
  <si>
    <t>1. Revenue by Beverage Brand</t>
  </si>
  <si>
    <t>2. Revenue by Region--State</t>
  </si>
  <si>
    <t>3. Revenue by Retailer</t>
  </si>
  <si>
    <t>4. Units Sold by Beverage Brand</t>
  </si>
  <si>
    <t>5. Revenue Trend Over Time</t>
  </si>
  <si>
    <t>6. Revenue by Region × Brand Combination</t>
  </si>
  <si>
    <t>Sum of Revenue2</t>
  </si>
  <si>
    <t>Jan</t>
  </si>
  <si>
    <t>Feb</t>
  </si>
  <si>
    <t>Apr</t>
  </si>
  <si>
    <t>May</t>
  </si>
  <si>
    <t>Jun</t>
  </si>
  <si>
    <t>Jul</t>
  </si>
  <si>
    <t>Aug</t>
  </si>
  <si>
    <t>Sep</t>
  </si>
  <si>
    <t>Oct</t>
  </si>
  <si>
    <t>Nov</t>
  </si>
  <si>
    <t>Dec</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</si>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</sst>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BDT]\ #,##0.00"/>
  </numFmts>
  <fonts count="3" x14ac:knownFonts="1">
    <font>
      <sz val="11"/>
      <color theme="1"/>
      <name val="Aptos Narrow"/>
      <family val="2"/>
      <scheme val="minor"/>
    </font>
    <font>
      <b/>
      <sz val="12"/>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1"/>
        <bgColor indexed="64"/>
      </patternFill>
    </fill>
  </fills>
  <borders count="2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61">
    <xf numFmtId="0" fontId="0" fillId="0" borderId="0" xfId="0"/>
    <xf numFmtId="14" fontId="0" fillId="0" borderId="0" xfId="0" applyNumberFormat="1"/>
    <xf numFmtId="0" fontId="1" fillId="0" borderId="0" xfId="0" applyFont="1"/>
    <xf numFmtId="164" fontId="1" fillId="0" borderId="0" xfId="0" applyNumberFormat="1" applyFont="1"/>
    <xf numFmtId="164" fontId="0" fillId="0" borderId="0" xfId="0" applyNumberFormat="1"/>
    <xf numFmtId="165" fontId="0" fillId="0" borderId="0" xfId="0" applyNumberFormat="1"/>
    <xf numFmtId="0" fontId="0" fillId="3" borderId="0" xfId="0" applyFill="1"/>
    <xf numFmtId="0" fontId="0" fillId="0" borderId="3" xfId="0" applyBorder="1"/>
    <xf numFmtId="164" fontId="0" fillId="0" borderId="4" xfId="0" applyNumberFormat="1" applyBorder="1"/>
    <xf numFmtId="164" fontId="0" fillId="0" borderId="6" xfId="0" applyNumberFormat="1" applyBorder="1"/>
    <xf numFmtId="164" fontId="0" fillId="0" borderId="8" xfId="0" applyNumberFormat="1" applyBorder="1"/>
    <xf numFmtId="0" fontId="0" fillId="0" borderId="1" xfId="0" pivotButton="1" applyBorder="1"/>
    <xf numFmtId="0" fontId="0" fillId="0" borderId="9" xfId="0" pivotButton="1" applyBorder="1"/>
    <xf numFmtId="0" fontId="0" fillId="0" borderId="9" xfId="0" applyBorder="1"/>
    <xf numFmtId="0" fontId="0" fillId="0" borderId="10" xfId="0" applyBorder="1"/>
    <xf numFmtId="164" fontId="0" fillId="0" borderId="11" xfId="0" applyNumberFormat="1" applyBorder="1"/>
    <xf numFmtId="164" fontId="0" fillId="0" borderId="10" xfId="0" applyNumberFormat="1" applyBorder="1"/>
    <xf numFmtId="164" fontId="0" fillId="0" borderId="12" xfId="0" applyNumberFormat="1" applyBorder="1"/>
    <xf numFmtId="0" fontId="0" fillId="0" borderId="12" xfId="0" applyBorder="1"/>
    <xf numFmtId="0" fontId="0" fillId="0" borderId="11" xfId="0" applyBorder="1"/>
    <xf numFmtId="164" fontId="0" fillId="0" borderId="1" xfId="0" applyNumberFormat="1" applyBorder="1"/>
    <xf numFmtId="164" fontId="0" fillId="0" borderId="7" xfId="0" applyNumberFormat="1" applyBorder="1"/>
    <xf numFmtId="164" fontId="0" fillId="0" borderId="2" xfId="0" applyNumberFormat="1" applyBorder="1"/>
    <xf numFmtId="164" fontId="0" fillId="0" borderId="5" xfId="0" applyNumberFormat="1" applyBorder="1"/>
    <xf numFmtId="0" fontId="0" fillId="0" borderId="13" xfId="0" applyBorder="1"/>
    <xf numFmtId="0" fontId="0" fillId="0" borderId="14" xfId="0" applyBorder="1"/>
    <xf numFmtId="0" fontId="0" fillId="0" borderId="15" xfId="0" applyBorder="1"/>
    <xf numFmtId="164" fontId="0" fillId="0" borderId="3" xfId="0" applyNumberFormat="1" applyBorder="1"/>
    <xf numFmtId="3" fontId="0" fillId="0" borderId="10" xfId="0" applyNumberFormat="1" applyBorder="1"/>
    <xf numFmtId="3" fontId="0" fillId="0" borderId="12" xfId="0" applyNumberFormat="1" applyBorder="1"/>
    <xf numFmtId="3" fontId="0" fillId="0" borderId="11" xfId="0" applyNumberFormat="1" applyBorder="1"/>
    <xf numFmtId="0" fontId="0" fillId="0" borderId="2" xfId="0" applyBorder="1"/>
    <xf numFmtId="3" fontId="0" fillId="0" borderId="4" xfId="0" applyNumberFormat="1" applyBorder="1"/>
    <xf numFmtId="3" fontId="0" fillId="0" borderId="6" xfId="0" applyNumberFormat="1" applyBorder="1"/>
    <xf numFmtId="0" fontId="0" fillId="0" borderId="7" xfId="0" applyBorder="1"/>
    <xf numFmtId="10" fontId="0" fillId="0" borderId="8" xfId="0" applyNumberFormat="1" applyBorder="1"/>
    <xf numFmtId="10" fontId="0" fillId="0" borderId="7" xfId="0" applyNumberFormat="1" applyBorder="1"/>
    <xf numFmtId="3" fontId="0" fillId="0" borderId="2" xfId="0" applyNumberFormat="1" applyBorder="1"/>
    <xf numFmtId="10" fontId="0" fillId="0" borderId="0" xfId="0" applyNumberFormat="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0" fillId="3" borderId="23" xfId="0" applyFill="1" applyBorder="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2" borderId="1" xfId="0" applyFont="1" applyFill="1" applyBorder="1" applyAlignment="1">
      <alignment horizontal="left" vertical="center"/>
    </xf>
    <xf numFmtId="0" fontId="2" fillId="2" borderId="7"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0" xfId="0" applyFont="1" applyFill="1" applyAlignment="1">
      <alignment horizontal="left" vertical="center"/>
    </xf>
    <xf numFmtId="0" fontId="2" fillId="2" borderId="4" xfId="0" applyFont="1" applyFill="1" applyBorder="1" applyAlignment="1">
      <alignment horizontal="left" vertical="center"/>
    </xf>
  </cellXfs>
  <cellStyles count="1">
    <cellStyle name="Normal" xfId="0" builtinId="0"/>
  </cellStyles>
  <dxfs count="7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164" formatCode="&quot;$&quot;#,##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5" formatCode="[$BDT]\ #,##0.00"/>
    </dxf>
    <dxf>
      <numFmt numFmtId="165" formatCode="[$BDT]\ #,##0.00"/>
    </dxf>
    <dxf>
      <numFmt numFmtId="164" formatCode="&quot;$&quot;#,##0.00"/>
    </dxf>
    <dxf>
      <numFmt numFmtId="164" formatCode="&quot;$&quot;#,##0.00"/>
    </dxf>
    <dxf>
      <numFmt numFmtId="164" formatCode="&quot;$&quot;#,##0.00"/>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font>
        <b/>
        <strike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of Module 5.xlsx]PivotTable!Brand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 by Beverage Brand</a:t>
            </a:r>
          </a:p>
        </c:rich>
      </c:tx>
      <c:layout>
        <c:manualLayout>
          <c:xMode val="edge"/>
          <c:yMode val="edge"/>
          <c:x val="1.7796906307983192E-3"/>
          <c:y val="4.629553076710801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944444444444439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267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9.25925925925923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9.25925925925923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44444444444439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267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2.7777777777777779E-3"/>
              <c:y val="9.25925925925923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1.944444444444439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2.7777777777777267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dLbl>
          <c:idx val="0"/>
          <c:layout>
            <c:manualLayout>
              <c:x val="0"/>
              <c:y val="1.40000029396331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1.4942530088019847E-2"/>
              <c:y val="1.4000002939633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02778604650068"/>
          <c:y val="0.14716354796084996"/>
          <c:w val="0.78898370793589534"/>
          <c:h val="0.7123543228040573"/>
        </c:manualLayout>
      </c:layout>
      <c:barChart>
        <c:barDir val="col"/>
        <c:grouping val="clustered"/>
        <c:varyColors val="0"/>
        <c:ser>
          <c:idx val="0"/>
          <c:order val="0"/>
          <c:tx>
            <c:strRef>
              <c:f>PivotTable!$B$3</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0-63DF-4A2B-A25D-B9D64B0B2AA9}"/>
              </c:ext>
            </c:extLst>
          </c:dPt>
          <c:dPt>
            <c:idx val="1"/>
            <c:invertIfNegative val="0"/>
            <c:bubble3D val="0"/>
            <c:spPr>
              <a:solidFill>
                <a:srgbClr val="002060"/>
              </a:solidFill>
              <a:ln>
                <a:noFill/>
              </a:ln>
              <a:effectLst/>
            </c:spPr>
            <c:extLst>
              <c:ext xmlns:c16="http://schemas.microsoft.com/office/drawing/2014/chart" uri="{C3380CC4-5D6E-409C-BE32-E72D297353CC}">
                <c16:uniqueId val="{00000001-63DF-4A2B-A25D-B9D64B0B2AA9}"/>
              </c:ext>
            </c:extLst>
          </c:dPt>
          <c:dPt>
            <c:idx val="2"/>
            <c:invertIfNegative val="0"/>
            <c:bubble3D val="0"/>
            <c:spPr>
              <a:solidFill>
                <a:srgbClr val="002060"/>
              </a:solidFill>
              <a:ln>
                <a:noFill/>
              </a:ln>
              <a:effectLst/>
            </c:spPr>
            <c:extLst>
              <c:ext xmlns:c16="http://schemas.microsoft.com/office/drawing/2014/chart" uri="{C3380CC4-5D6E-409C-BE32-E72D297353CC}">
                <c16:uniqueId val="{00000002-63DF-4A2B-A25D-B9D64B0B2AA9}"/>
              </c:ext>
            </c:extLst>
          </c:dPt>
          <c:dPt>
            <c:idx val="3"/>
            <c:invertIfNegative val="0"/>
            <c:bubble3D val="0"/>
            <c:spPr>
              <a:solidFill>
                <a:srgbClr val="002060"/>
              </a:solidFill>
              <a:ln>
                <a:noFill/>
              </a:ln>
              <a:effectLst/>
            </c:spPr>
            <c:extLst>
              <c:ext xmlns:c16="http://schemas.microsoft.com/office/drawing/2014/chart" uri="{C3380CC4-5D6E-409C-BE32-E72D297353CC}">
                <c16:uniqueId val="{00000004-63DF-4A2B-A25D-B9D64B0B2AA9}"/>
              </c:ext>
            </c:extLst>
          </c:dPt>
          <c:dPt>
            <c:idx val="4"/>
            <c:invertIfNegative val="0"/>
            <c:bubble3D val="0"/>
            <c:spPr>
              <a:solidFill>
                <a:srgbClr val="002060"/>
              </a:solidFill>
              <a:ln>
                <a:noFill/>
              </a:ln>
              <a:effectLst/>
            </c:spPr>
            <c:extLst>
              <c:ext xmlns:c16="http://schemas.microsoft.com/office/drawing/2014/chart" uri="{C3380CC4-5D6E-409C-BE32-E72D297353CC}">
                <c16:uniqueId val="{00000005-63DF-4A2B-A25D-B9D64B0B2AA9}"/>
              </c:ext>
            </c:extLst>
          </c:dPt>
          <c:dLbls>
            <c:dLbl>
              <c:idx val="0"/>
              <c:layout>
                <c:manualLayout>
                  <c:x val="-2.7777777777777779E-3"/>
                  <c:y val="9.25925925925923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DF-4A2B-A25D-B9D64B0B2AA9}"/>
                </c:ext>
              </c:extLst>
            </c:dLbl>
            <c:dLbl>
              <c:idx val="1"/>
              <c:layout>
                <c:manualLayout>
                  <c:x val="1.9444444444444393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DF-4A2B-A25D-B9D64B0B2AA9}"/>
                </c:ext>
              </c:extLst>
            </c:dLbl>
            <c:dLbl>
              <c:idx val="2"/>
              <c:layout>
                <c:manualLayout>
                  <c:x val="2.7777777777777267E-3"/>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DF-4A2B-A25D-B9D64B0B2AA9}"/>
                </c:ext>
              </c:extLst>
            </c:dLbl>
            <c:dLbl>
              <c:idx val="3"/>
              <c:layout>
                <c:manualLayout>
                  <c:x val="0"/>
                  <c:y val="1.40000029396331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DF-4A2B-A25D-B9D64B0B2AA9}"/>
                </c:ext>
              </c:extLst>
            </c:dLbl>
            <c:dLbl>
              <c:idx val="4"/>
              <c:layout>
                <c:manualLayout>
                  <c:x val="-1.4942530088019847E-2"/>
                  <c:y val="1.40000029396331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DF-4A2B-A25D-B9D64B0B2A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PivotTable!$A$4:$A$10</c:f>
              <c:strCache>
                <c:ptCount val="6"/>
                <c:pt idx="0">
                  <c:v>Coca-Cola</c:v>
                </c:pt>
                <c:pt idx="1">
                  <c:v>Dasani Water</c:v>
                </c:pt>
                <c:pt idx="2">
                  <c:v>Diet Coke</c:v>
                </c:pt>
                <c:pt idx="3">
                  <c:v>Fanta</c:v>
                </c:pt>
                <c:pt idx="4">
                  <c:v>Powerade</c:v>
                </c:pt>
                <c:pt idx="5">
                  <c:v>Sprite</c:v>
                </c:pt>
              </c:strCache>
            </c:strRef>
          </c:cat>
          <c:val>
            <c:numRef>
              <c:f>PivotTable!$B$4:$B$10</c:f>
              <c:numCache>
                <c:formatCode>"$"#,##0.00</c:formatCode>
                <c:ptCount val="6"/>
                <c:pt idx="0">
                  <c:v>228445</c:v>
                </c:pt>
                <c:pt idx="1">
                  <c:v>233775</c:v>
                </c:pt>
                <c:pt idx="2">
                  <c:v>214362.5</c:v>
                </c:pt>
                <c:pt idx="3">
                  <c:v>166550</c:v>
                </c:pt>
                <c:pt idx="4">
                  <c:v>181250</c:v>
                </c:pt>
                <c:pt idx="5">
                  <c:v>188635</c:v>
                </c:pt>
              </c:numCache>
            </c:numRef>
          </c:val>
          <c:extLst>
            <c:ext xmlns:c16="http://schemas.microsoft.com/office/drawing/2014/chart" uri="{C3380CC4-5D6E-409C-BE32-E72D297353CC}">
              <c16:uniqueId val="{00000003-63DF-4A2B-A25D-B9D64B0B2AA9}"/>
            </c:ext>
          </c:extLst>
        </c:ser>
        <c:dLbls>
          <c:dLblPos val="outEnd"/>
          <c:showLegendKey val="0"/>
          <c:showVal val="1"/>
          <c:showCatName val="0"/>
          <c:showSerName val="0"/>
          <c:showPercent val="0"/>
          <c:showBubbleSize val="0"/>
        </c:dLbls>
        <c:gapWidth val="219"/>
        <c:overlap val="-27"/>
        <c:axId val="510439600"/>
        <c:axId val="510440080"/>
      </c:barChart>
      <c:catAx>
        <c:axId val="51043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0440080"/>
        <c:crosses val="autoZero"/>
        <c:auto val="1"/>
        <c:lblAlgn val="ctr"/>
        <c:lblOffset val="100"/>
        <c:noMultiLvlLbl val="0"/>
      </c:catAx>
      <c:valAx>
        <c:axId val="510440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0439600"/>
        <c:crosses val="autoZero"/>
        <c:crossBetween val="between"/>
        <c:dispUnits>
          <c:builtInUnit val="thousands"/>
          <c:dispUnitsLbl>
            <c:layout>
              <c:manualLayout>
                <c:xMode val="edge"/>
                <c:yMode val="edge"/>
                <c:x val="1.8812292407665163E-2"/>
                <c:y val="0.38926842819284579"/>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of Module 5.xlsx]PivotTable!Region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 by Region--State</a:t>
            </a:r>
          </a:p>
        </c:rich>
      </c:tx>
      <c:layout>
        <c:manualLayout>
          <c:xMode val="edge"/>
          <c:yMode val="edge"/>
          <c:x val="2.4301024916374781E-3"/>
          <c:y val="4.629553076710801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8.3333333333333332E-3"/>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7777777777777779E-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8.3333333333333332E-3"/>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7777777777777779E-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dLbl>
          <c:idx val="0"/>
          <c:layout>
            <c:manualLayout>
              <c:x val="8.3333333333333332E-3"/>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sp3d/>
        </c:spPr>
        <c:dLbl>
          <c:idx val="0"/>
          <c:layout>
            <c:manualLayout>
              <c:x val="2.7777777777777779E-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sp3d/>
        </c:spPr>
        <c:dLbl>
          <c:idx val="0"/>
          <c:layout>
            <c:manualLayout>
              <c:x val="0"/>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02778604650068"/>
          <c:y val="0.12383020972812803"/>
          <c:w val="0.78898370793589534"/>
          <c:h val="0.74035432868332363"/>
        </c:manualLayout>
      </c:layout>
      <c:bar3DChart>
        <c:barDir val="col"/>
        <c:grouping val="clustered"/>
        <c:varyColors val="0"/>
        <c:ser>
          <c:idx val="0"/>
          <c:order val="0"/>
          <c:tx>
            <c:strRef>
              <c:f>PivotTable!$B$14</c:f>
              <c:strCache>
                <c:ptCount val="1"/>
                <c:pt idx="0">
                  <c:v>Total</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F771-4F96-BD57-6CB87914BFE4}"/>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F771-4F96-BD57-6CB87914BFE4}"/>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F771-4F96-BD57-6CB87914BFE4}"/>
              </c:ext>
            </c:extLst>
          </c:dPt>
          <c:dLbls>
            <c:dLbl>
              <c:idx val="0"/>
              <c:layout>
                <c:manualLayout>
                  <c:x val="8.3333333333333332E-3"/>
                  <c:y val="-9.25925925925930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71-4F96-BD57-6CB87914BFE4}"/>
                </c:ext>
              </c:extLst>
            </c:dLbl>
            <c:dLbl>
              <c:idx val="1"/>
              <c:layout>
                <c:manualLayout>
                  <c:x val="2.7777777777777779E-3"/>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71-4F96-BD57-6CB87914BFE4}"/>
                </c:ext>
              </c:extLst>
            </c:dLbl>
            <c:dLbl>
              <c:idx val="2"/>
              <c:layout>
                <c:manualLayout>
                  <c:x val="0"/>
                  <c:y val="-1.8518518518518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71-4F96-BD57-6CB87914BF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PivotTable!$A$15:$A$18</c:f>
              <c:strCache>
                <c:ptCount val="3"/>
                <c:pt idx="0">
                  <c:v>Northeast--New York</c:v>
                </c:pt>
                <c:pt idx="1">
                  <c:v>South--Texas</c:v>
                </c:pt>
                <c:pt idx="2">
                  <c:v>West--California</c:v>
                </c:pt>
              </c:strCache>
            </c:strRef>
          </c:cat>
          <c:val>
            <c:numRef>
              <c:f>PivotTable!$B$15:$B$18</c:f>
              <c:numCache>
                <c:formatCode>"$"#,##0.00</c:formatCode>
                <c:ptCount val="3"/>
                <c:pt idx="0">
                  <c:v>391767.5</c:v>
                </c:pt>
                <c:pt idx="1">
                  <c:v>238850</c:v>
                </c:pt>
                <c:pt idx="2">
                  <c:v>582400</c:v>
                </c:pt>
              </c:numCache>
            </c:numRef>
          </c:val>
          <c:extLst>
            <c:ext xmlns:c16="http://schemas.microsoft.com/office/drawing/2014/chart" uri="{C3380CC4-5D6E-409C-BE32-E72D297353CC}">
              <c16:uniqueId val="{00000003-F771-4F96-BD57-6CB87914BFE4}"/>
            </c:ext>
          </c:extLst>
        </c:ser>
        <c:dLbls>
          <c:showLegendKey val="0"/>
          <c:showVal val="1"/>
          <c:showCatName val="0"/>
          <c:showSerName val="0"/>
          <c:showPercent val="0"/>
          <c:showBubbleSize val="0"/>
        </c:dLbls>
        <c:gapWidth val="150"/>
        <c:shape val="box"/>
        <c:axId val="510388720"/>
        <c:axId val="510405040"/>
        <c:axId val="0"/>
      </c:bar3DChart>
      <c:catAx>
        <c:axId val="510388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0405040"/>
        <c:crosses val="autoZero"/>
        <c:auto val="1"/>
        <c:lblAlgn val="ctr"/>
        <c:lblOffset val="100"/>
        <c:noMultiLvlLbl val="0"/>
      </c:catAx>
      <c:valAx>
        <c:axId val="510405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0388720"/>
        <c:crosses val="autoZero"/>
        <c:crossBetween val="between"/>
        <c:dispUnits>
          <c:builtInUnit val="thousands"/>
          <c:dispUnitsLbl>
            <c:layout>
              <c:manualLayout>
                <c:xMode val="edge"/>
                <c:yMode val="edge"/>
                <c:x val="1.2342529852704306E-2"/>
                <c:y val="0.39305100116556457"/>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of Module 5.xlsx]PivotTable!Retailer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 by Retailer</a:t>
            </a:r>
          </a:p>
        </c:rich>
      </c:tx>
      <c:layout>
        <c:manualLayout>
          <c:xMode val="edge"/>
          <c:yMode val="edge"/>
          <c:x val="2.1364288294351374E-3"/>
          <c:y val="4.59244022166295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78307093701429"/>
          <c:y val="0.10049687149540609"/>
          <c:w val="0.73016237941554718"/>
          <c:h val="0.72999432650799512"/>
        </c:manualLayout>
      </c:layout>
      <c:barChart>
        <c:barDir val="bar"/>
        <c:grouping val="clustered"/>
        <c:varyColors val="0"/>
        <c:ser>
          <c:idx val="0"/>
          <c:order val="0"/>
          <c:tx>
            <c:strRef>
              <c:f>PivotTable!$E$3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PivotTable!$D$4:$D$8</c:f>
              <c:strCache>
                <c:ptCount val="4"/>
                <c:pt idx="0">
                  <c:v>Costco</c:v>
                </c:pt>
                <c:pt idx="1">
                  <c:v>Target</c:v>
                </c:pt>
                <c:pt idx="2">
                  <c:v>Walgreens</c:v>
                </c:pt>
                <c:pt idx="3">
                  <c:v>Walmart</c:v>
                </c:pt>
              </c:strCache>
            </c:strRef>
          </c:cat>
          <c:val>
            <c:numRef>
              <c:f>PivotTable!$E$4:$E$8</c:f>
              <c:numCache>
                <c:formatCode>"$"#,##0.00</c:formatCode>
                <c:ptCount val="4"/>
                <c:pt idx="0">
                  <c:v>331750</c:v>
                </c:pt>
                <c:pt idx="1">
                  <c:v>238850</c:v>
                </c:pt>
                <c:pt idx="2">
                  <c:v>250650</c:v>
                </c:pt>
                <c:pt idx="3">
                  <c:v>391767.5</c:v>
                </c:pt>
              </c:numCache>
            </c:numRef>
          </c:val>
          <c:extLst>
            <c:ext xmlns:c16="http://schemas.microsoft.com/office/drawing/2014/chart" uri="{C3380CC4-5D6E-409C-BE32-E72D297353CC}">
              <c16:uniqueId val="{00000000-87B8-469C-A33F-7D64987FFA0A}"/>
            </c:ext>
          </c:extLst>
        </c:ser>
        <c:dLbls>
          <c:dLblPos val="outEnd"/>
          <c:showLegendKey val="0"/>
          <c:showVal val="1"/>
          <c:showCatName val="0"/>
          <c:showSerName val="0"/>
          <c:showPercent val="0"/>
          <c:showBubbleSize val="0"/>
        </c:dLbls>
        <c:gapWidth val="65"/>
        <c:axId val="510397360"/>
        <c:axId val="510386320"/>
      </c:barChart>
      <c:catAx>
        <c:axId val="51039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0386320"/>
        <c:crosses val="autoZero"/>
        <c:auto val="1"/>
        <c:lblAlgn val="ctr"/>
        <c:lblOffset val="100"/>
        <c:noMultiLvlLbl val="0"/>
      </c:catAx>
      <c:valAx>
        <c:axId val="510386320"/>
        <c:scaling>
          <c:orientation val="minMax"/>
          <c:max val="400000"/>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low"/>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0397360"/>
        <c:crosses val="autoZero"/>
        <c:crossBetween val="between"/>
        <c:majorUnit val="100000"/>
        <c:dispUnits>
          <c:builtInUnit val="thousands"/>
          <c:dispUnitsLbl>
            <c:layout>
              <c:manualLayout>
                <c:xMode val="edge"/>
                <c:yMode val="edge"/>
                <c:x val="0.41867086783155649"/>
                <c:y val="0.90190260407403755"/>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of Module 5.xlsx]PivotTable!Brand sold</c:name>
    <c:fmtId val="5"/>
  </c:pivotSource>
  <c:chart>
    <c:title>
      <c:tx>
        <c:rich>
          <a:bodyPr rot="0" spcFirstLastPara="1" vertOverflow="ellipsis" vert="horz" wrap="square" anchor="ctr" anchorCtr="0"/>
          <a:lstStyle/>
          <a:p>
            <a:pPr>
              <a:defRPr sz="1400" b="1" i="0" u="none" strike="noStrike" kern="1200" cap="all" spc="50" baseline="0">
                <a:solidFill>
                  <a:schemeClr val="tx1">
                    <a:lumMod val="65000"/>
                    <a:lumOff val="35000"/>
                  </a:schemeClr>
                </a:solidFill>
                <a:latin typeface="+mn-lt"/>
                <a:ea typeface="+mn-ea"/>
                <a:cs typeface="+mn-cs"/>
              </a:defRPr>
            </a:pPr>
            <a:r>
              <a:rPr lang="en-US" sz="1600" b="1" cap="none" baseline="0">
                <a:solidFill>
                  <a:schemeClr val="tx1"/>
                </a:solidFill>
              </a:rPr>
              <a:t>Units Sold by Beverage Brand</a:t>
            </a:r>
          </a:p>
        </c:rich>
      </c:tx>
      <c:layout>
        <c:manualLayout>
          <c:xMode val="edge"/>
          <c:yMode val="edge"/>
          <c:x val="2.8619063138660712E-3"/>
          <c:y val="0"/>
        </c:manualLayout>
      </c:layout>
      <c:overlay val="0"/>
      <c:spPr>
        <a:noFill/>
        <a:ln>
          <a:noFill/>
        </a:ln>
        <a:effectLst/>
      </c:spPr>
      <c:txPr>
        <a:bodyPr rot="0" spcFirstLastPara="1" vertOverflow="ellipsis" vert="horz" wrap="square" anchor="ctr" anchorCtr="0"/>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1322566867822146E-2"/>
          <c:y val="0.11152777777777778"/>
          <c:w val="0.55568869179913949"/>
          <c:h val="0.86588618964139685"/>
        </c:manualLayout>
      </c:layout>
      <c:doughnutChart>
        <c:varyColors val="1"/>
        <c:ser>
          <c:idx val="0"/>
          <c:order val="0"/>
          <c:tx>
            <c:strRef>
              <c:f>PivotTable!$E$14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CEC-45C5-890D-44F73B5F380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CEC-45C5-890D-44F73B5F380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CEC-45C5-890D-44F73B5F380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CEC-45C5-890D-44F73B5F380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CEC-45C5-890D-44F73B5F380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CEC-45C5-890D-44F73B5F38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PivotTable!$D$15:$D$21</c:f>
              <c:strCache>
                <c:ptCount val="6"/>
                <c:pt idx="0">
                  <c:v>Coca-Cola</c:v>
                </c:pt>
                <c:pt idx="1">
                  <c:v>Dasani Water</c:v>
                </c:pt>
                <c:pt idx="2">
                  <c:v>Diet Coke</c:v>
                </c:pt>
                <c:pt idx="3">
                  <c:v>Fanta</c:v>
                </c:pt>
                <c:pt idx="4">
                  <c:v>Powerade</c:v>
                </c:pt>
                <c:pt idx="5">
                  <c:v>Sprite</c:v>
                </c:pt>
              </c:strCache>
            </c:strRef>
          </c:cat>
          <c:val>
            <c:numRef>
              <c:f>PivotTable!$E$15:$E$21</c:f>
              <c:numCache>
                <c:formatCode>#,##0</c:formatCode>
                <c:ptCount val="6"/>
                <c:pt idx="0">
                  <c:v>461900</c:v>
                </c:pt>
                <c:pt idx="1">
                  <c:v>392750</c:v>
                </c:pt>
                <c:pt idx="2">
                  <c:v>413750</c:v>
                </c:pt>
                <c:pt idx="3">
                  <c:v>338000</c:v>
                </c:pt>
                <c:pt idx="4">
                  <c:v>318750</c:v>
                </c:pt>
                <c:pt idx="5">
                  <c:v>384700</c:v>
                </c:pt>
              </c:numCache>
            </c:numRef>
          </c:val>
          <c:extLst>
            <c:ext xmlns:c16="http://schemas.microsoft.com/office/drawing/2014/chart" uri="{C3380CC4-5D6E-409C-BE32-E72D297353CC}">
              <c16:uniqueId val="{0000000C-3CEC-45C5-890D-44F73B5F380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963080184910867"/>
          <c:y val="0.24442694663167105"/>
          <c:w val="0.21657608983402027"/>
          <c:h val="0.6180438903470399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of Module 5.xlsx]PivotTable!Date</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 Trend Over Time</a:t>
            </a:r>
          </a:p>
        </c:rich>
      </c:tx>
      <c:layout>
        <c:manualLayout>
          <c:xMode val="edge"/>
          <c:yMode val="edge"/>
          <c:x val="9.1420046286545971E-4"/>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18066491688539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59886264217024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61598862642170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060433070866148"/>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638210848643919"/>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582655293088374"/>
              <c:y val="-3.931722076407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860433070866151"/>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826552930883845E-2"/>
              <c:y val="4.40161125692621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590660542432206"/>
              <c:y val="-3.46875911344415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3333333333333534E-2"/>
              <c:y val="-4.3946850393700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60433070866142E-2"/>
              <c:y val="-3.00579615048119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18066491688539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59886264217024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61598862642170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060433070866148"/>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638210848643919"/>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582655293088374"/>
              <c:y val="-3.931722076407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60433070866142E-2"/>
              <c:y val="-3.00579615048119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860433070866151"/>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826552930883845E-2"/>
              <c:y val="4.40161125692621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590660542432206"/>
              <c:y val="-3.46875911344415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3333333333333534E-2"/>
              <c:y val="-4.3946850393700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rgbClr val="FF0000"/>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6.918066491688539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1.1159886264217024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1361598862642170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13060433070866148"/>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15638210848643919"/>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12582655293088374"/>
              <c:y val="-3.931722076407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5.360433070866142E-2"/>
              <c:y val="-3.00579615048119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12860433070866151"/>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5826552930883845E-2"/>
              <c:y val="4.40161125692621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10590660542432206"/>
              <c:y val="-3.46875911344415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3.3333333333333534E-2"/>
              <c:y val="-4.3946850393700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rgbClr val="FF0000"/>
            </a:solidFill>
            <a:ln w="9525">
              <a:solidFill>
                <a:srgbClr val="FFFF00"/>
              </a:solidFill>
            </a:ln>
            <a:effectLst/>
          </c:spPr>
        </c:marker>
        <c:dLbl>
          <c:idx val="0"/>
          <c:layout>
            <c:manualLayout>
              <c:x val="-6.604598298904725E-2"/>
              <c:y val="3.0303741427629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rgbClr val="FF0000"/>
            </a:solidFill>
            <a:ln w="9525">
              <a:solidFill>
                <a:srgbClr val="FFFF00"/>
              </a:solidFill>
            </a:ln>
            <a:effectLst/>
          </c:spPr>
        </c:marker>
        <c:dLbl>
          <c:idx val="0"/>
          <c:layout>
            <c:manualLayout>
              <c:x val="-3.3172416795403767E-2"/>
              <c:y val="3.4960496417415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rgbClr val="FF0000"/>
            </a:solidFill>
            <a:ln w="9525">
              <a:solidFill>
                <a:srgbClr val="FFFF00"/>
              </a:solidFill>
            </a:ln>
            <a:effectLst/>
          </c:spPr>
        </c:marker>
        <c:dLbl>
          <c:idx val="0"/>
          <c:layout>
            <c:manualLayout>
              <c:x val="-5.7917246621164507E-2"/>
              <c:y val="3.96172514072016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rgbClr val="FF0000"/>
            </a:solidFill>
            <a:ln w="9525">
              <a:solidFill>
                <a:srgbClr val="FFFF00"/>
              </a:solidFill>
            </a:ln>
            <a:effectLst/>
          </c:spPr>
        </c:marker>
        <c:dLbl>
          <c:idx val="0"/>
          <c:layout>
            <c:manualLayout>
              <c:x val="-6.6882764673976344E-2"/>
              <c:y val="4.89307613867743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rgbClr val="FF0000"/>
            </a:solidFill>
            <a:ln w="9525">
              <a:solidFill>
                <a:srgbClr val="FFFF00"/>
              </a:solidFill>
            </a:ln>
            <a:effectLst/>
          </c:spPr>
        </c:marker>
        <c:dLbl>
          <c:idx val="0"/>
          <c:layout>
            <c:manualLayout>
              <c:x val="-4.0186699265698185E-2"/>
              <c:y val="5.35875163765606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231837472336"/>
          <c:y val="0.13288068697036284"/>
          <c:w val="0.83568535031997015"/>
          <c:h val="0.77343346945480396"/>
        </c:manualLayout>
      </c:layout>
      <c:lineChart>
        <c:grouping val="standard"/>
        <c:varyColors val="0"/>
        <c:ser>
          <c:idx val="0"/>
          <c:order val="0"/>
          <c:tx>
            <c:strRef>
              <c:f>PivotTable!$H$3</c:f>
              <c:strCache>
                <c:ptCount val="1"/>
                <c:pt idx="0">
                  <c:v>Total</c:v>
                </c:pt>
              </c:strCache>
            </c:strRef>
          </c:tx>
          <c:spPr>
            <a:ln w="28575" cap="rnd">
              <a:solidFill>
                <a:schemeClr val="accent1"/>
              </a:solidFill>
              <a:round/>
            </a:ln>
            <a:effectLst/>
          </c:spPr>
          <c:marker>
            <c:symbol val="circle"/>
            <c:size val="5"/>
            <c:spPr>
              <a:solidFill>
                <a:srgbClr val="FF0000"/>
              </a:solidFill>
              <a:ln w="9525">
                <a:solidFill>
                  <a:srgbClr val="FFFF00"/>
                </a:solidFill>
              </a:ln>
              <a:effectLst/>
            </c:spPr>
          </c:marker>
          <c:dPt>
            <c:idx val="1"/>
            <c:marker>
              <c:symbol val="circle"/>
              <c:size val="5"/>
              <c:spPr>
                <a:solidFill>
                  <a:srgbClr val="FF0000"/>
                </a:solidFill>
                <a:ln w="9525">
                  <a:solidFill>
                    <a:srgbClr val="FFFF00"/>
                  </a:solidFill>
                </a:ln>
                <a:effectLst/>
              </c:spPr>
            </c:marker>
            <c:bubble3D val="0"/>
            <c:extLst>
              <c:ext xmlns:c16="http://schemas.microsoft.com/office/drawing/2014/chart" uri="{C3380CC4-5D6E-409C-BE32-E72D297353CC}">
                <c16:uniqueId val="{00000000-3554-4824-80D0-F6202C04E346}"/>
              </c:ext>
            </c:extLst>
          </c:dPt>
          <c:dPt>
            <c:idx val="3"/>
            <c:marker>
              <c:symbol val="circle"/>
              <c:size val="5"/>
              <c:spPr>
                <a:solidFill>
                  <a:srgbClr val="FF0000"/>
                </a:solidFill>
                <a:ln w="9525">
                  <a:solidFill>
                    <a:srgbClr val="FFFF00"/>
                  </a:solidFill>
                </a:ln>
                <a:effectLst/>
              </c:spPr>
            </c:marker>
            <c:bubble3D val="0"/>
            <c:extLst>
              <c:ext xmlns:c16="http://schemas.microsoft.com/office/drawing/2014/chart" uri="{C3380CC4-5D6E-409C-BE32-E72D297353CC}">
                <c16:uniqueId val="{00000001-3554-4824-80D0-F6202C04E346}"/>
              </c:ext>
            </c:extLst>
          </c:dPt>
          <c:dPt>
            <c:idx val="6"/>
            <c:marker>
              <c:symbol val="circle"/>
              <c:size val="5"/>
              <c:spPr>
                <a:solidFill>
                  <a:srgbClr val="FF0000"/>
                </a:solidFill>
                <a:ln w="9525">
                  <a:solidFill>
                    <a:srgbClr val="FFFF00"/>
                  </a:solidFill>
                </a:ln>
                <a:effectLst/>
              </c:spPr>
            </c:marker>
            <c:bubble3D val="0"/>
            <c:extLst>
              <c:ext xmlns:c16="http://schemas.microsoft.com/office/drawing/2014/chart" uri="{C3380CC4-5D6E-409C-BE32-E72D297353CC}">
                <c16:uniqueId val="{00000002-3554-4824-80D0-F6202C04E346}"/>
              </c:ext>
            </c:extLst>
          </c:dPt>
          <c:dPt>
            <c:idx val="8"/>
            <c:marker>
              <c:symbol val="circle"/>
              <c:size val="5"/>
              <c:spPr>
                <a:solidFill>
                  <a:srgbClr val="FF0000"/>
                </a:solidFill>
                <a:ln w="9525">
                  <a:solidFill>
                    <a:srgbClr val="FFFF00"/>
                  </a:solidFill>
                </a:ln>
                <a:effectLst/>
              </c:spPr>
            </c:marker>
            <c:bubble3D val="0"/>
            <c:extLst>
              <c:ext xmlns:c16="http://schemas.microsoft.com/office/drawing/2014/chart" uri="{C3380CC4-5D6E-409C-BE32-E72D297353CC}">
                <c16:uniqueId val="{00000003-3554-4824-80D0-F6202C04E346}"/>
              </c:ext>
            </c:extLst>
          </c:dPt>
          <c:dPt>
            <c:idx val="10"/>
            <c:marker>
              <c:symbol val="circle"/>
              <c:size val="5"/>
              <c:spPr>
                <a:solidFill>
                  <a:srgbClr val="FF0000"/>
                </a:solidFill>
                <a:ln w="9525">
                  <a:solidFill>
                    <a:srgbClr val="FFFF00"/>
                  </a:solidFill>
                </a:ln>
                <a:effectLst/>
              </c:spPr>
            </c:marker>
            <c:bubble3D val="0"/>
            <c:extLst>
              <c:ext xmlns:c16="http://schemas.microsoft.com/office/drawing/2014/chart" uri="{C3380CC4-5D6E-409C-BE32-E72D297353CC}">
                <c16:uniqueId val="{00000004-3554-4824-80D0-F6202C04E346}"/>
              </c:ext>
            </c:extLst>
          </c:dPt>
          <c:dLbls>
            <c:dLbl>
              <c:idx val="1"/>
              <c:layout>
                <c:manualLayout>
                  <c:x val="-6.604598298904725E-2"/>
                  <c:y val="3.03037414276290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54-4824-80D0-F6202C04E346}"/>
                </c:ext>
              </c:extLst>
            </c:dLbl>
            <c:dLbl>
              <c:idx val="3"/>
              <c:layout>
                <c:manualLayout>
                  <c:x val="-3.3172416795403767E-2"/>
                  <c:y val="3.49604964174152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54-4824-80D0-F6202C04E346}"/>
                </c:ext>
              </c:extLst>
            </c:dLbl>
            <c:dLbl>
              <c:idx val="6"/>
              <c:layout>
                <c:manualLayout>
                  <c:x val="-5.7917246621164507E-2"/>
                  <c:y val="3.96172514072016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54-4824-80D0-F6202C04E346}"/>
                </c:ext>
              </c:extLst>
            </c:dLbl>
            <c:dLbl>
              <c:idx val="8"/>
              <c:layout>
                <c:manualLayout>
                  <c:x val="-6.6882764673976344E-2"/>
                  <c:y val="4.8930761386774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54-4824-80D0-F6202C04E346}"/>
                </c:ext>
              </c:extLst>
            </c:dLbl>
            <c:dLbl>
              <c:idx val="10"/>
              <c:layout>
                <c:manualLayout>
                  <c:x val="-4.0186699265698185E-2"/>
                  <c:y val="5.3587516376560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54-4824-80D0-F6202C04E3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PivotTable!$H$4:$H$16</c:f>
              <c:numCache>
                <c:formatCode>"$"#,##0.00</c:formatCode>
                <c:ptCount val="12"/>
                <c:pt idx="0">
                  <c:v>82062.5</c:v>
                </c:pt>
                <c:pt idx="1">
                  <c:v>78562.5</c:v>
                </c:pt>
                <c:pt idx="2">
                  <c:v>83562.5</c:v>
                </c:pt>
                <c:pt idx="3">
                  <c:v>89637.5</c:v>
                </c:pt>
                <c:pt idx="4">
                  <c:v>98707.5</c:v>
                </c:pt>
                <c:pt idx="5">
                  <c:v>110125</c:v>
                </c:pt>
                <c:pt idx="6">
                  <c:v>114325</c:v>
                </c:pt>
                <c:pt idx="7">
                  <c:v>115950</c:v>
                </c:pt>
                <c:pt idx="8">
                  <c:v>109637.5</c:v>
                </c:pt>
                <c:pt idx="9">
                  <c:v>105600</c:v>
                </c:pt>
                <c:pt idx="10">
                  <c:v>109547.5</c:v>
                </c:pt>
                <c:pt idx="11">
                  <c:v>115300</c:v>
                </c:pt>
              </c:numCache>
            </c:numRef>
          </c:val>
          <c:smooth val="0"/>
          <c:extLst>
            <c:ext xmlns:c16="http://schemas.microsoft.com/office/drawing/2014/chart" uri="{C3380CC4-5D6E-409C-BE32-E72D297353CC}">
              <c16:uniqueId val="{0000000B-9838-43E0-8AD6-C9964D5CFEF6}"/>
            </c:ext>
          </c:extLst>
        </c:ser>
        <c:dLbls>
          <c:dLblPos val="t"/>
          <c:showLegendKey val="0"/>
          <c:showVal val="1"/>
          <c:showCatName val="0"/>
          <c:showSerName val="0"/>
          <c:showPercent val="0"/>
          <c:showBubbleSize val="0"/>
        </c:dLbls>
        <c:marker val="1"/>
        <c:smooth val="0"/>
        <c:axId val="602574176"/>
        <c:axId val="602574656"/>
      </c:lineChart>
      <c:catAx>
        <c:axId val="60257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2574656"/>
        <c:crosses val="autoZero"/>
        <c:auto val="1"/>
        <c:lblAlgn val="ctr"/>
        <c:lblOffset val="100"/>
        <c:noMultiLvlLbl val="0"/>
      </c:catAx>
      <c:valAx>
        <c:axId val="602574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2574176"/>
        <c:crosses val="autoZero"/>
        <c:crossBetween val="between"/>
        <c:dispUnits>
          <c:builtInUnit val="thousands"/>
          <c:dispUnitsLbl>
            <c:layout>
              <c:manualLayout>
                <c:xMode val="edge"/>
                <c:yMode val="edge"/>
                <c:x val="2.9885060176039475E-3"/>
                <c:y val="0.37282017115591293"/>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of Module 5.xlsx]PivotTable!Region Brand</c:name>
    <c:fmtId val="6"/>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Revenue by Region × Brand</a:t>
            </a:r>
            <a:r>
              <a:rPr lang="en-US" sz="1500" b="1" baseline="0">
                <a:solidFill>
                  <a:schemeClr val="tx1"/>
                </a:solidFill>
              </a:rPr>
              <a:t> </a:t>
            </a:r>
            <a:r>
              <a:rPr lang="en-US" sz="1500" b="1">
                <a:solidFill>
                  <a:schemeClr val="tx1"/>
                </a:solidFill>
              </a:rPr>
              <a:t>Combination</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875243316102"/>
          <c:y val="0.10648148148148148"/>
          <c:w val="0.64352637979525673"/>
          <c:h val="0.71584426589748607"/>
        </c:manualLayout>
      </c:layout>
      <c:bar3DChart>
        <c:barDir val="col"/>
        <c:grouping val="clustered"/>
        <c:varyColors val="0"/>
        <c:ser>
          <c:idx val="0"/>
          <c:order val="0"/>
          <c:tx>
            <c:strRef>
              <c:f>PivotTable!$B$25:$B$26</c:f>
              <c:strCache>
                <c:ptCount val="1"/>
                <c:pt idx="0">
                  <c:v>Coca-Cola</c:v>
                </c:pt>
              </c:strCache>
            </c:strRef>
          </c:tx>
          <c:spPr>
            <a:solidFill>
              <a:schemeClr val="accent1"/>
            </a:solidFill>
            <a:ln>
              <a:noFill/>
            </a:ln>
            <a:effectLst/>
            <a:sp3d/>
          </c:spPr>
          <c:invertIfNegative val="0"/>
          <c:cat>
            <c:strRef>
              <c:f>PivotTable!$A$27:$A$30</c:f>
              <c:strCache>
                <c:ptCount val="3"/>
                <c:pt idx="0">
                  <c:v>Northeast--New York</c:v>
                </c:pt>
                <c:pt idx="1">
                  <c:v>South--Texas</c:v>
                </c:pt>
                <c:pt idx="2">
                  <c:v>West--California</c:v>
                </c:pt>
              </c:strCache>
            </c:strRef>
          </c:cat>
          <c:val>
            <c:numRef>
              <c:f>PivotTable!$B$27:$B$30</c:f>
              <c:numCache>
                <c:formatCode>"$"#,##0.00</c:formatCode>
                <c:ptCount val="3"/>
                <c:pt idx="0">
                  <c:v>84432.5</c:v>
                </c:pt>
                <c:pt idx="1">
                  <c:v>39525</c:v>
                </c:pt>
                <c:pt idx="2">
                  <c:v>104487.5</c:v>
                </c:pt>
              </c:numCache>
            </c:numRef>
          </c:val>
          <c:extLst>
            <c:ext xmlns:c16="http://schemas.microsoft.com/office/drawing/2014/chart" uri="{C3380CC4-5D6E-409C-BE32-E72D297353CC}">
              <c16:uniqueId val="{00000000-7DE3-4F0E-BEE4-74A83B6FCEC5}"/>
            </c:ext>
          </c:extLst>
        </c:ser>
        <c:ser>
          <c:idx val="1"/>
          <c:order val="1"/>
          <c:tx>
            <c:strRef>
              <c:f>PivotTable!$C$25:$C$26</c:f>
              <c:strCache>
                <c:ptCount val="1"/>
                <c:pt idx="0">
                  <c:v>Dasani Water</c:v>
                </c:pt>
              </c:strCache>
            </c:strRef>
          </c:tx>
          <c:spPr>
            <a:solidFill>
              <a:schemeClr val="accent2"/>
            </a:solidFill>
            <a:ln>
              <a:noFill/>
            </a:ln>
            <a:effectLst/>
            <a:sp3d/>
          </c:spPr>
          <c:invertIfNegative val="0"/>
          <c:cat>
            <c:strRef>
              <c:f>PivotTable!$A$27:$A$30</c:f>
              <c:strCache>
                <c:ptCount val="3"/>
                <c:pt idx="0">
                  <c:v>Northeast--New York</c:v>
                </c:pt>
                <c:pt idx="1">
                  <c:v>South--Texas</c:v>
                </c:pt>
                <c:pt idx="2">
                  <c:v>West--California</c:v>
                </c:pt>
              </c:strCache>
            </c:strRef>
          </c:cat>
          <c:val>
            <c:numRef>
              <c:f>PivotTable!$C$27:$C$30</c:f>
              <c:numCache>
                <c:formatCode>"$"#,##0.00</c:formatCode>
                <c:ptCount val="3"/>
                <c:pt idx="0">
                  <c:v>74287.5</c:v>
                </c:pt>
                <c:pt idx="1">
                  <c:v>47300</c:v>
                </c:pt>
                <c:pt idx="2">
                  <c:v>112187.5</c:v>
                </c:pt>
              </c:numCache>
            </c:numRef>
          </c:val>
          <c:extLst>
            <c:ext xmlns:c16="http://schemas.microsoft.com/office/drawing/2014/chart" uri="{C3380CC4-5D6E-409C-BE32-E72D297353CC}">
              <c16:uniqueId val="{00000000-FD15-435B-8DAC-EB0CF56980C1}"/>
            </c:ext>
          </c:extLst>
        </c:ser>
        <c:ser>
          <c:idx val="2"/>
          <c:order val="2"/>
          <c:tx>
            <c:strRef>
              <c:f>PivotTable!$D$25:$D$26</c:f>
              <c:strCache>
                <c:ptCount val="1"/>
                <c:pt idx="0">
                  <c:v>Diet Coke</c:v>
                </c:pt>
              </c:strCache>
            </c:strRef>
          </c:tx>
          <c:spPr>
            <a:solidFill>
              <a:schemeClr val="accent3"/>
            </a:solidFill>
            <a:ln>
              <a:noFill/>
            </a:ln>
            <a:effectLst/>
            <a:sp3d/>
          </c:spPr>
          <c:invertIfNegative val="0"/>
          <c:cat>
            <c:strRef>
              <c:f>PivotTable!$A$27:$A$30</c:f>
              <c:strCache>
                <c:ptCount val="3"/>
                <c:pt idx="0">
                  <c:v>Northeast--New York</c:v>
                </c:pt>
                <c:pt idx="1">
                  <c:v>South--Texas</c:v>
                </c:pt>
                <c:pt idx="2">
                  <c:v>West--California</c:v>
                </c:pt>
              </c:strCache>
            </c:strRef>
          </c:cat>
          <c:val>
            <c:numRef>
              <c:f>PivotTable!$D$27:$D$30</c:f>
              <c:numCache>
                <c:formatCode>"$"#,##0.00</c:formatCode>
                <c:ptCount val="3"/>
                <c:pt idx="0">
                  <c:v>62350</c:v>
                </c:pt>
                <c:pt idx="1">
                  <c:v>45387.5</c:v>
                </c:pt>
                <c:pt idx="2">
                  <c:v>106625</c:v>
                </c:pt>
              </c:numCache>
            </c:numRef>
          </c:val>
          <c:extLst>
            <c:ext xmlns:c16="http://schemas.microsoft.com/office/drawing/2014/chart" uri="{C3380CC4-5D6E-409C-BE32-E72D297353CC}">
              <c16:uniqueId val="{00000001-FD15-435B-8DAC-EB0CF56980C1}"/>
            </c:ext>
          </c:extLst>
        </c:ser>
        <c:ser>
          <c:idx val="3"/>
          <c:order val="3"/>
          <c:tx>
            <c:strRef>
              <c:f>PivotTable!$E$25:$E$26</c:f>
              <c:strCache>
                <c:ptCount val="1"/>
                <c:pt idx="0">
                  <c:v>Fanta</c:v>
                </c:pt>
              </c:strCache>
            </c:strRef>
          </c:tx>
          <c:spPr>
            <a:solidFill>
              <a:schemeClr val="accent4"/>
            </a:solidFill>
            <a:ln>
              <a:noFill/>
            </a:ln>
            <a:effectLst/>
            <a:sp3d/>
          </c:spPr>
          <c:invertIfNegative val="0"/>
          <c:cat>
            <c:strRef>
              <c:f>PivotTable!$A$27:$A$30</c:f>
              <c:strCache>
                <c:ptCount val="3"/>
                <c:pt idx="0">
                  <c:v>Northeast--New York</c:v>
                </c:pt>
                <c:pt idx="1">
                  <c:v>South--Texas</c:v>
                </c:pt>
                <c:pt idx="2">
                  <c:v>West--California</c:v>
                </c:pt>
              </c:strCache>
            </c:strRef>
          </c:cat>
          <c:val>
            <c:numRef>
              <c:f>PivotTable!$E$27:$E$30</c:f>
              <c:numCache>
                <c:formatCode>"$"#,##0.00</c:formatCode>
                <c:ptCount val="3"/>
                <c:pt idx="0">
                  <c:v>51937.5</c:v>
                </c:pt>
                <c:pt idx="1">
                  <c:v>33737.5</c:v>
                </c:pt>
                <c:pt idx="2">
                  <c:v>80875</c:v>
                </c:pt>
              </c:numCache>
            </c:numRef>
          </c:val>
          <c:extLst>
            <c:ext xmlns:c16="http://schemas.microsoft.com/office/drawing/2014/chart" uri="{C3380CC4-5D6E-409C-BE32-E72D297353CC}">
              <c16:uniqueId val="{00000002-FD15-435B-8DAC-EB0CF56980C1}"/>
            </c:ext>
          </c:extLst>
        </c:ser>
        <c:ser>
          <c:idx val="4"/>
          <c:order val="4"/>
          <c:tx>
            <c:strRef>
              <c:f>PivotTable!$F$25:$F$26</c:f>
              <c:strCache>
                <c:ptCount val="1"/>
                <c:pt idx="0">
                  <c:v>Powerade</c:v>
                </c:pt>
              </c:strCache>
            </c:strRef>
          </c:tx>
          <c:spPr>
            <a:solidFill>
              <a:schemeClr val="accent5"/>
            </a:solidFill>
            <a:ln>
              <a:noFill/>
            </a:ln>
            <a:effectLst/>
            <a:sp3d/>
          </c:spPr>
          <c:invertIfNegative val="0"/>
          <c:cat>
            <c:strRef>
              <c:f>PivotTable!$A$27:$A$30</c:f>
              <c:strCache>
                <c:ptCount val="3"/>
                <c:pt idx="0">
                  <c:v>Northeast--New York</c:v>
                </c:pt>
                <c:pt idx="1">
                  <c:v>South--Texas</c:v>
                </c:pt>
                <c:pt idx="2">
                  <c:v>West--California</c:v>
                </c:pt>
              </c:strCache>
            </c:strRef>
          </c:cat>
          <c:val>
            <c:numRef>
              <c:f>PivotTable!$F$27:$F$30</c:f>
              <c:numCache>
                <c:formatCode>"$"#,##0.00</c:formatCode>
                <c:ptCount val="3"/>
                <c:pt idx="0">
                  <c:v>65075</c:v>
                </c:pt>
                <c:pt idx="1">
                  <c:v>31762.5</c:v>
                </c:pt>
                <c:pt idx="2">
                  <c:v>84412.5</c:v>
                </c:pt>
              </c:numCache>
            </c:numRef>
          </c:val>
          <c:extLst>
            <c:ext xmlns:c16="http://schemas.microsoft.com/office/drawing/2014/chart" uri="{C3380CC4-5D6E-409C-BE32-E72D297353CC}">
              <c16:uniqueId val="{00000003-FD15-435B-8DAC-EB0CF56980C1}"/>
            </c:ext>
          </c:extLst>
        </c:ser>
        <c:ser>
          <c:idx val="5"/>
          <c:order val="5"/>
          <c:tx>
            <c:strRef>
              <c:f>PivotTable!$G$25:$G$26</c:f>
              <c:strCache>
                <c:ptCount val="1"/>
                <c:pt idx="0">
                  <c:v>Sprite</c:v>
                </c:pt>
              </c:strCache>
            </c:strRef>
          </c:tx>
          <c:spPr>
            <a:solidFill>
              <a:schemeClr val="accent6"/>
            </a:solidFill>
            <a:ln>
              <a:noFill/>
            </a:ln>
            <a:effectLst/>
            <a:sp3d/>
          </c:spPr>
          <c:invertIfNegative val="0"/>
          <c:cat>
            <c:strRef>
              <c:f>PivotTable!$A$27:$A$30</c:f>
              <c:strCache>
                <c:ptCount val="3"/>
                <c:pt idx="0">
                  <c:v>Northeast--New York</c:v>
                </c:pt>
                <c:pt idx="1">
                  <c:v>South--Texas</c:v>
                </c:pt>
                <c:pt idx="2">
                  <c:v>West--California</c:v>
                </c:pt>
              </c:strCache>
            </c:strRef>
          </c:cat>
          <c:val>
            <c:numRef>
              <c:f>PivotTable!$G$27:$G$30</c:f>
              <c:numCache>
                <c:formatCode>"$"#,##0.00</c:formatCode>
                <c:ptCount val="3"/>
                <c:pt idx="0">
                  <c:v>53685</c:v>
                </c:pt>
                <c:pt idx="1">
                  <c:v>41137.5</c:v>
                </c:pt>
                <c:pt idx="2">
                  <c:v>93812.5</c:v>
                </c:pt>
              </c:numCache>
            </c:numRef>
          </c:val>
          <c:extLst>
            <c:ext xmlns:c16="http://schemas.microsoft.com/office/drawing/2014/chart" uri="{C3380CC4-5D6E-409C-BE32-E72D297353CC}">
              <c16:uniqueId val="{00000004-FD15-435B-8DAC-EB0CF56980C1}"/>
            </c:ext>
          </c:extLst>
        </c:ser>
        <c:dLbls>
          <c:showLegendKey val="0"/>
          <c:showVal val="0"/>
          <c:showCatName val="0"/>
          <c:showSerName val="0"/>
          <c:showPercent val="0"/>
          <c:showBubbleSize val="0"/>
        </c:dLbls>
        <c:gapWidth val="150"/>
        <c:shape val="box"/>
        <c:axId val="992976384"/>
        <c:axId val="992976864"/>
        <c:axId val="0"/>
      </c:bar3DChart>
      <c:catAx>
        <c:axId val="992976384"/>
        <c:scaling>
          <c:orientation val="minMax"/>
        </c:scaling>
        <c:delete val="0"/>
        <c:axPos val="b"/>
        <c:numFmt formatCode="General" sourceLinked="1"/>
        <c:majorTickMark val="out"/>
        <c:minorTickMark val="none"/>
        <c:tickLblPos val="nextTo"/>
        <c:spPr>
          <a:noFill/>
          <a:ln>
            <a:noFill/>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992976864"/>
        <c:crosses val="autoZero"/>
        <c:auto val="1"/>
        <c:lblAlgn val="ctr"/>
        <c:lblOffset val="100"/>
        <c:tickLblSkip val="1"/>
        <c:noMultiLvlLbl val="0"/>
      </c:catAx>
      <c:valAx>
        <c:axId val="99297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Thousands</a:t>
                </a:r>
              </a:p>
            </c:rich>
          </c:tx>
          <c:layout>
            <c:manualLayout>
              <c:xMode val="edge"/>
              <c:yMode val="edge"/>
              <c:x val="2.4649285959013707E-3"/>
              <c:y val="0.3739159073443847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2976384"/>
        <c:crosses val="autoZero"/>
        <c:crossBetween val="between"/>
        <c:dispUnits>
          <c:builtInUnit val="thousands"/>
        </c:dispUnits>
      </c:valAx>
      <c:spPr>
        <a:noFill/>
        <a:ln>
          <a:noFill/>
        </a:ln>
        <a:effectLst/>
      </c:spPr>
    </c:plotArea>
    <c:legend>
      <c:legendPos val="r"/>
      <c:layout>
        <c:manualLayout>
          <c:xMode val="edge"/>
          <c:yMode val="edge"/>
          <c:x val="0.76017244852240762"/>
          <c:y val="0.28907020180342791"/>
          <c:w val="0.23982760791271676"/>
          <c:h val="0.53987878503049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xdr:col>
      <xdr:colOff>13956</xdr:colOff>
      <xdr:row>1</xdr:row>
      <xdr:rowOff>0</xdr:rowOff>
    </xdr:from>
    <xdr:to>
      <xdr:col>24</xdr:col>
      <xdr:colOff>0</xdr:colOff>
      <xdr:row>5</xdr:row>
      <xdr:rowOff>177800</xdr:rowOff>
    </xdr:to>
    <xdr:sp macro="" textlink="">
      <xdr:nvSpPr>
        <xdr:cNvPr id="3" name="Rectangle 2">
          <a:extLst>
            <a:ext uri="{FF2B5EF4-FFF2-40B4-BE49-F238E27FC236}">
              <a16:creationId xmlns:a16="http://schemas.microsoft.com/office/drawing/2014/main" id="{A54AE6ED-1985-DE24-D904-D8772C512C2C}"/>
            </a:ext>
          </a:extLst>
        </xdr:cNvPr>
        <xdr:cNvSpPr/>
      </xdr:nvSpPr>
      <xdr:spPr>
        <a:xfrm>
          <a:off x="118626" y="104670"/>
          <a:ext cx="12930275" cy="903515"/>
        </a:xfrm>
        <a:prstGeom prst="rect">
          <a:avLst/>
        </a:prstGeom>
        <a:solidFill>
          <a:schemeClr val="tx2"/>
        </a:solidFill>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Beverage Sales Performance Dashboard</a:t>
          </a:r>
          <a:endParaRPr lang="en-US" sz="1200">
            <a:solidFill>
              <a:schemeClr val="tx2">
                <a:lumMod val="25000"/>
                <a:lumOff val="75000"/>
              </a:schemeClr>
            </a:solidFill>
          </a:endParaRPr>
        </a:p>
      </xdr:txBody>
    </xdr:sp>
    <xdr:clientData/>
  </xdr:twoCellAnchor>
  <xdr:twoCellAnchor>
    <xdr:from>
      <xdr:col>14</xdr:col>
      <xdr:colOff>153378</xdr:colOff>
      <xdr:row>1</xdr:row>
      <xdr:rowOff>74944</xdr:rowOff>
    </xdr:from>
    <xdr:to>
      <xdr:col>17</xdr:col>
      <xdr:colOff>370673</xdr:colOff>
      <xdr:row>5</xdr:row>
      <xdr:rowOff>81294</xdr:rowOff>
    </xdr:to>
    <xdr:sp macro="" textlink="">
      <xdr:nvSpPr>
        <xdr:cNvPr id="4" name="Rectangle: Rounded Corners 3">
          <a:extLst>
            <a:ext uri="{FF2B5EF4-FFF2-40B4-BE49-F238E27FC236}">
              <a16:creationId xmlns:a16="http://schemas.microsoft.com/office/drawing/2014/main" id="{5B363F31-0D56-A14B-E5F9-5EC5A07120CC}"/>
            </a:ext>
          </a:extLst>
        </xdr:cNvPr>
        <xdr:cNvSpPr/>
      </xdr:nvSpPr>
      <xdr:spPr>
        <a:xfrm>
          <a:off x="7536125" y="74944"/>
          <a:ext cx="1529163" cy="7320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        </a:t>
          </a:r>
          <a:r>
            <a:rPr lang="en-US" sz="1200" b="1" i="0">
              <a:solidFill>
                <a:schemeClr val="tx1"/>
              </a:solidFill>
            </a:rPr>
            <a:t>Total Revenue</a:t>
          </a:r>
          <a:endParaRPr lang="en-US" sz="1200" b="1">
            <a:solidFill>
              <a:schemeClr val="tx1"/>
            </a:solidFill>
          </a:endParaRPr>
        </a:p>
      </xdr:txBody>
    </xdr:sp>
    <xdr:clientData/>
  </xdr:twoCellAnchor>
  <xdr:oneCellAnchor>
    <xdr:from>
      <xdr:col>14</xdr:col>
      <xdr:colOff>429007</xdr:colOff>
      <xdr:row>2</xdr:row>
      <xdr:rowOff>91483</xdr:rowOff>
    </xdr:from>
    <xdr:ext cx="1227513" cy="253626"/>
    <xdr:sp macro="" textlink="PivotTable!B40">
      <xdr:nvSpPr>
        <xdr:cNvPr id="6" name="TextBox 5">
          <a:extLst>
            <a:ext uri="{FF2B5EF4-FFF2-40B4-BE49-F238E27FC236}">
              <a16:creationId xmlns:a16="http://schemas.microsoft.com/office/drawing/2014/main" id="{BD83FCC3-1555-C591-E1E1-1A2F5F9882B8}"/>
            </a:ext>
          </a:extLst>
        </xdr:cNvPr>
        <xdr:cNvSpPr txBox="1"/>
      </xdr:nvSpPr>
      <xdr:spPr>
        <a:xfrm>
          <a:off x="7910964" y="367570"/>
          <a:ext cx="1227513" cy="25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3003DB0-5825-4C63-82DD-EC8177AE9FCC}" type="TxLink">
            <a:rPr lang="en-US" sz="1300" b="1" i="0" u="none" strike="noStrike">
              <a:solidFill>
                <a:srgbClr val="000000"/>
              </a:solidFill>
              <a:latin typeface="Aptos Narrow"/>
            </a:rPr>
            <a:pPr/>
            <a:t>$1,213,017.50</a:t>
          </a:fld>
          <a:endParaRPr lang="en-US" sz="1300" b="1"/>
        </a:p>
      </xdr:txBody>
    </xdr:sp>
    <xdr:clientData/>
  </xdr:oneCellAnchor>
  <xdr:twoCellAnchor>
    <xdr:from>
      <xdr:col>17</xdr:col>
      <xdr:colOff>600110</xdr:colOff>
      <xdr:row>1</xdr:row>
      <xdr:rowOff>81294</xdr:rowOff>
    </xdr:from>
    <xdr:to>
      <xdr:col>20</xdr:col>
      <xdr:colOff>340178</xdr:colOff>
      <xdr:row>5</xdr:row>
      <xdr:rowOff>87644</xdr:rowOff>
    </xdr:to>
    <xdr:sp macro="" textlink="">
      <xdr:nvSpPr>
        <xdr:cNvPr id="9" name="Rectangle: Rounded Corners 8">
          <a:extLst>
            <a:ext uri="{FF2B5EF4-FFF2-40B4-BE49-F238E27FC236}">
              <a16:creationId xmlns:a16="http://schemas.microsoft.com/office/drawing/2014/main" id="{FA7BF626-B1B1-7C8D-22AF-5B7B64B3E89A}"/>
            </a:ext>
          </a:extLst>
        </xdr:cNvPr>
        <xdr:cNvSpPr/>
      </xdr:nvSpPr>
      <xdr:spPr>
        <a:xfrm>
          <a:off x="9294725" y="81294"/>
          <a:ext cx="1561332" cy="7320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          Total Units Sold</a:t>
          </a:r>
        </a:p>
      </xdr:txBody>
    </xdr:sp>
    <xdr:clientData/>
  </xdr:twoCellAnchor>
  <xdr:oneCellAnchor>
    <xdr:from>
      <xdr:col>18</xdr:col>
      <xdr:colOff>470458</xdr:colOff>
      <xdr:row>2</xdr:row>
      <xdr:rowOff>126371</xdr:rowOff>
    </xdr:from>
    <xdr:ext cx="965194" cy="311496"/>
    <xdr:sp macro="" textlink="PivotTable!D40">
      <xdr:nvSpPr>
        <xdr:cNvPr id="10" name="TextBox 9">
          <a:extLst>
            <a:ext uri="{FF2B5EF4-FFF2-40B4-BE49-F238E27FC236}">
              <a16:creationId xmlns:a16="http://schemas.microsoft.com/office/drawing/2014/main" id="{C116AF0F-D290-7E71-F657-B0DA955B2788}"/>
            </a:ext>
          </a:extLst>
        </xdr:cNvPr>
        <xdr:cNvSpPr txBox="1"/>
      </xdr:nvSpPr>
      <xdr:spPr>
        <a:xfrm>
          <a:off x="9871219" y="402458"/>
          <a:ext cx="96519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C5BA3C6-C04D-4C7A-8D88-CFCD39A795ED}" type="TxLink">
            <a:rPr lang="en-US" sz="1400" b="1" i="0" u="none" strike="noStrike">
              <a:solidFill>
                <a:srgbClr val="000000"/>
              </a:solidFill>
              <a:latin typeface="Aptos Narrow"/>
            </a:rPr>
            <a:pPr/>
            <a:t>2,309,850</a:t>
          </a:fld>
          <a:endParaRPr lang="en-US" sz="1800" b="1"/>
        </a:p>
      </xdr:txBody>
    </xdr:sp>
    <xdr:clientData/>
  </xdr:oneCellAnchor>
  <xdr:twoCellAnchor editAs="oneCell">
    <xdr:from>
      <xdr:col>14</xdr:col>
      <xdr:colOff>197827</xdr:colOff>
      <xdr:row>2</xdr:row>
      <xdr:rowOff>107322</xdr:rowOff>
    </xdr:from>
    <xdr:to>
      <xdr:col>14</xdr:col>
      <xdr:colOff>474714</xdr:colOff>
      <xdr:row>4</xdr:row>
      <xdr:rowOff>18422</xdr:rowOff>
    </xdr:to>
    <xdr:pic>
      <xdr:nvPicPr>
        <xdr:cNvPr id="13" name="Graphic 12" descr="Money with solid fill">
          <a:extLst>
            <a:ext uri="{FF2B5EF4-FFF2-40B4-BE49-F238E27FC236}">
              <a16:creationId xmlns:a16="http://schemas.microsoft.com/office/drawing/2014/main" id="{838A6B36-5F34-50C1-DCCF-AD78607418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80574" y="288751"/>
          <a:ext cx="276887" cy="273957"/>
        </a:xfrm>
        <a:prstGeom prst="rect">
          <a:avLst/>
        </a:prstGeom>
      </xdr:spPr>
    </xdr:pic>
    <xdr:clientData/>
  </xdr:twoCellAnchor>
  <xdr:twoCellAnchor editAs="oneCell">
    <xdr:from>
      <xdr:col>18</xdr:col>
      <xdr:colOff>93156</xdr:colOff>
      <xdr:row>2</xdr:row>
      <xdr:rowOff>70547</xdr:rowOff>
    </xdr:from>
    <xdr:to>
      <xdr:col>18</xdr:col>
      <xdr:colOff>509395</xdr:colOff>
      <xdr:row>4</xdr:row>
      <xdr:rowOff>120277</xdr:rowOff>
    </xdr:to>
    <xdr:pic>
      <xdr:nvPicPr>
        <xdr:cNvPr id="15" name="Graphic 14" descr="Box outline">
          <a:extLst>
            <a:ext uri="{FF2B5EF4-FFF2-40B4-BE49-F238E27FC236}">
              <a16:creationId xmlns:a16="http://schemas.microsoft.com/office/drawing/2014/main" id="{B6F22EA6-5870-D816-DA80-3596348D57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4859" y="251976"/>
          <a:ext cx="416239" cy="412587"/>
        </a:xfrm>
        <a:prstGeom prst="rect">
          <a:avLst/>
        </a:prstGeom>
      </xdr:spPr>
    </xdr:pic>
    <xdr:clientData/>
  </xdr:twoCellAnchor>
  <xdr:twoCellAnchor>
    <xdr:from>
      <xdr:col>20</xdr:col>
      <xdr:colOff>571918</xdr:colOff>
      <xdr:row>1</xdr:row>
      <xdr:rowOff>75572</xdr:rowOff>
    </xdr:from>
    <xdr:to>
      <xdr:col>23</xdr:col>
      <xdr:colOff>251209</xdr:colOff>
      <xdr:row>5</xdr:row>
      <xdr:rowOff>55825</xdr:rowOff>
    </xdr:to>
    <xdr:sp macro="" textlink="">
      <xdr:nvSpPr>
        <xdr:cNvPr id="16" name="Rectangle: Rounded Corners 15">
          <a:extLst>
            <a:ext uri="{FF2B5EF4-FFF2-40B4-BE49-F238E27FC236}">
              <a16:creationId xmlns:a16="http://schemas.microsoft.com/office/drawing/2014/main" id="{B31D537C-6B9B-4B73-95CD-D3B1A5834F82}"/>
            </a:ext>
          </a:extLst>
        </xdr:cNvPr>
        <xdr:cNvSpPr/>
      </xdr:nvSpPr>
      <xdr:spPr>
        <a:xfrm>
          <a:off x="11087797" y="75572"/>
          <a:ext cx="1500555" cy="7059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           Average Price</a:t>
          </a:r>
          <a:r>
            <a:rPr lang="en-US" sz="1200" b="1" baseline="0">
              <a:solidFill>
                <a:schemeClr val="tx1"/>
              </a:solidFill>
            </a:rPr>
            <a:t> </a:t>
          </a:r>
        </a:p>
        <a:p>
          <a:pPr algn="ctr"/>
          <a:r>
            <a:rPr lang="en-US" sz="1200" b="1">
              <a:solidFill>
                <a:schemeClr val="tx1"/>
              </a:solidFill>
            </a:rPr>
            <a:t>            per Unit</a:t>
          </a:r>
        </a:p>
      </xdr:txBody>
    </xdr:sp>
    <xdr:clientData/>
  </xdr:twoCellAnchor>
  <xdr:oneCellAnchor>
    <xdr:from>
      <xdr:col>21</xdr:col>
      <xdr:colOff>547706</xdr:colOff>
      <xdr:row>3</xdr:row>
      <xdr:rowOff>98460</xdr:rowOff>
    </xdr:from>
    <xdr:ext cx="596445" cy="311496"/>
    <xdr:sp macro="" textlink="AppendQuery!H290">
      <xdr:nvSpPr>
        <xdr:cNvPr id="17" name="TextBox 16">
          <a:extLst>
            <a:ext uri="{FF2B5EF4-FFF2-40B4-BE49-F238E27FC236}">
              <a16:creationId xmlns:a16="http://schemas.microsoft.com/office/drawing/2014/main" id="{045C564C-77F6-F030-FF6D-6A0242D6036C}"/>
            </a:ext>
          </a:extLst>
        </xdr:cNvPr>
        <xdr:cNvSpPr txBox="1"/>
      </xdr:nvSpPr>
      <xdr:spPr>
        <a:xfrm>
          <a:off x="11670673" y="461317"/>
          <a:ext cx="59644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07CC5CE-FE3C-418E-A99B-A7843715AAF1}" type="TxLink">
            <a:rPr lang="en-US" sz="1400" b="1" i="0" u="none" strike="noStrike">
              <a:solidFill>
                <a:srgbClr val="000000"/>
              </a:solidFill>
              <a:latin typeface="Aptos Narrow"/>
            </a:rPr>
            <a:pPr/>
            <a:t>$0.52</a:t>
          </a:fld>
          <a:endParaRPr lang="en-US" sz="1400" b="1"/>
        </a:p>
      </xdr:txBody>
    </xdr:sp>
    <xdr:clientData/>
  </xdr:oneCellAnchor>
  <xdr:twoCellAnchor editAs="oneCell">
    <xdr:from>
      <xdr:col>21</xdr:col>
      <xdr:colOff>45496</xdr:colOff>
      <xdr:row>2</xdr:row>
      <xdr:rowOff>38170</xdr:rowOff>
    </xdr:from>
    <xdr:to>
      <xdr:col>21</xdr:col>
      <xdr:colOff>481483</xdr:colOff>
      <xdr:row>4</xdr:row>
      <xdr:rowOff>107615</xdr:rowOff>
    </xdr:to>
    <xdr:pic>
      <xdr:nvPicPr>
        <xdr:cNvPr id="19" name="Graphic 18" descr="Label with solid fill">
          <a:extLst>
            <a:ext uri="{FF2B5EF4-FFF2-40B4-BE49-F238E27FC236}">
              <a16:creationId xmlns:a16="http://schemas.microsoft.com/office/drawing/2014/main" id="{95937282-A78E-8A0A-A91D-29C8698A51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68463" y="219599"/>
          <a:ext cx="435987" cy="432302"/>
        </a:xfrm>
        <a:prstGeom prst="rect">
          <a:avLst/>
        </a:prstGeom>
      </xdr:spPr>
    </xdr:pic>
    <xdr:clientData/>
  </xdr:twoCellAnchor>
  <xdr:twoCellAnchor>
    <xdr:from>
      <xdr:col>1</xdr:col>
      <xdr:colOff>0</xdr:colOff>
      <xdr:row>15</xdr:row>
      <xdr:rowOff>0</xdr:rowOff>
    </xdr:from>
    <xdr:to>
      <xdr:col>8</xdr:col>
      <xdr:colOff>0</xdr:colOff>
      <xdr:row>30</xdr:row>
      <xdr:rowOff>0</xdr:rowOff>
    </xdr:to>
    <xdr:graphicFrame macro="">
      <xdr:nvGraphicFramePr>
        <xdr:cNvPr id="20" name="Chart 19">
          <a:extLst>
            <a:ext uri="{FF2B5EF4-FFF2-40B4-BE49-F238E27FC236}">
              <a16:creationId xmlns:a16="http://schemas.microsoft.com/office/drawing/2014/main" id="{8AFCBF1F-2192-4BA6-9E95-EA9BC9EC1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15</xdr:row>
      <xdr:rowOff>0</xdr:rowOff>
    </xdr:from>
    <xdr:to>
      <xdr:col>16</xdr:col>
      <xdr:colOff>0</xdr:colOff>
      <xdr:row>30</xdr:row>
      <xdr:rowOff>0</xdr:rowOff>
    </xdr:to>
    <xdr:graphicFrame macro="">
      <xdr:nvGraphicFramePr>
        <xdr:cNvPr id="21" name="Chart 20">
          <a:extLst>
            <a:ext uri="{FF2B5EF4-FFF2-40B4-BE49-F238E27FC236}">
              <a16:creationId xmlns:a16="http://schemas.microsoft.com/office/drawing/2014/main" id="{3F1B53E2-F96D-40EA-9E02-080D6B42D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xdr:colOff>
      <xdr:row>15</xdr:row>
      <xdr:rowOff>0</xdr:rowOff>
    </xdr:from>
    <xdr:to>
      <xdr:col>24</xdr:col>
      <xdr:colOff>0</xdr:colOff>
      <xdr:row>30</xdr:row>
      <xdr:rowOff>0</xdr:rowOff>
    </xdr:to>
    <xdr:graphicFrame macro="">
      <xdr:nvGraphicFramePr>
        <xdr:cNvPr id="22" name="Chart 21">
          <a:extLst>
            <a:ext uri="{FF2B5EF4-FFF2-40B4-BE49-F238E27FC236}">
              <a16:creationId xmlns:a16="http://schemas.microsoft.com/office/drawing/2014/main" id="{DC4DC11D-EAA0-4EF8-A0EB-F11264F58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30</xdr:row>
      <xdr:rowOff>181428</xdr:rowOff>
    </xdr:from>
    <xdr:to>
      <xdr:col>8</xdr:col>
      <xdr:colOff>0</xdr:colOff>
      <xdr:row>46</xdr:row>
      <xdr:rowOff>0</xdr:rowOff>
    </xdr:to>
    <xdr:graphicFrame macro="">
      <xdr:nvGraphicFramePr>
        <xdr:cNvPr id="23" name="Chart 22">
          <a:extLst>
            <a:ext uri="{FF2B5EF4-FFF2-40B4-BE49-F238E27FC236}">
              <a16:creationId xmlns:a16="http://schemas.microsoft.com/office/drawing/2014/main" id="{DFF0FF5F-80B3-41DA-A748-E73413202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6978</xdr:colOff>
      <xdr:row>30</xdr:row>
      <xdr:rowOff>181428</xdr:rowOff>
    </xdr:from>
    <xdr:to>
      <xdr:col>16</xdr:col>
      <xdr:colOff>6978</xdr:colOff>
      <xdr:row>46</xdr:row>
      <xdr:rowOff>0</xdr:rowOff>
    </xdr:to>
    <xdr:graphicFrame macro="">
      <xdr:nvGraphicFramePr>
        <xdr:cNvPr id="24" name="Chart 23">
          <a:extLst>
            <a:ext uri="{FF2B5EF4-FFF2-40B4-BE49-F238E27FC236}">
              <a16:creationId xmlns:a16="http://schemas.microsoft.com/office/drawing/2014/main" id="{20257949-E4F3-474E-A0E9-F5E5E9388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0</xdr:colOff>
      <xdr:row>30</xdr:row>
      <xdr:rowOff>159658</xdr:rowOff>
    </xdr:from>
    <xdr:to>
      <xdr:col>24</xdr:col>
      <xdr:colOff>0</xdr:colOff>
      <xdr:row>46</xdr:row>
      <xdr:rowOff>0</xdr:rowOff>
    </xdr:to>
    <xdr:graphicFrame macro="">
      <xdr:nvGraphicFramePr>
        <xdr:cNvPr id="25" name="Chart 24">
          <a:extLst>
            <a:ext uri="{FF2B5EF4-FFF2-40B4-BE49-F238E27FC236}">
              <a16:creationId xmlns:a16="http://schemas.microsoft.com/office/drawing/2014/main" id="{737B1BDC-280E-4D7E-92A8-85D3D09A3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xdr:col>
      <xdr:colOff>6978</xdr:colOff>
      <xdr:row>4</xdr:row>
      <xdr:rowOff>1</xdr:rowOff>
    </xdr:from>
    <xdr:ext cx="2977162" cy="311496"/>
    <xdr:sp macro="" textlink="">
      <xdr:nvSpPr>
        <xdr:cNvPr id="26" name="TextBox 25">
          <a:extLst>
            <a:ext uri="{FF2B5EF4-FFF2-40B4-BE49-F238E27FC236}">
              <a16:creationId xmlns:a16="http://schemas.microsoft.com/office/drawing/2014/main" id="{F1509118-F789-6A8F-1FDC-1D108859E6AA}"/>
            </a:ext>
          </a:extLst>
        </xdr:cNvPr>
        <xdr:cNvSpPr txBox="1"/>
      </xdr:nvSpPr>
      <xdr:spPr>
        <a:xfrm>
          <a:off x="6978" y="544287"/>
          <a:ext cx="29771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00B0F0"/>
              </a:solidFill>
            </a:rPr>
            <a:t>Revenue, Demand &amp; Regional Insights</a:t>
          </a:r>
        </a:p>
      </xdr:txBody>
    </xdr:sp>
    <xdr:clientData/>
  </xdr:oneCellAnchor>
  <xdr:twoCellAnchor editAs="oneCell">
    <xdr:from>
      <xdr:col>1</xdr:col>
      <xdr:colOff>0</xdr:colOff>
      <xdr:row>6</xdr:row>
      <xdr:rowOff>104668</xdr:rowOff>
    </xdr:from>
    <xdr:to>
      <xdr:col>6</xdr:col>
      <xdr:colOff>309057</xdr:colOff>
      <xdr:row>14</xdr:row>
      <xdr:rowOff>97692</xdr:rowOff>
    </xdr:to>
    <mc:AlternateContent xmlns:mc="http://schemas.openxmlformats.org/markup-compatibility/2006" xmlns:a14="http://schemas.microsoft.com/office/drawing/2010/main">
      <mc:Choice Requires="a14">
        <xdr:graphicFrame macro="">
          <xdr:nvGraphicFramePr>
            <xdr:cNvPr id="27" name="Retailer">
              <a:extLst>
                <a:ext uri="{FF2B5EF4-FFF2-40B4-BE49-F238E27FC236}">
                  <a16:creationId xmlns:a16="http://schemas.microsoft.com/office/drawing/2014/main" id="{A4033FE6-8D17-48AD-B9D6-909294A1113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0" y="1011811"/>
              <a:ext cx="3344497" cy="1290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397747</xdr:colOff>
      <xdr:row>7</xdr:row>
      <xdr:rowOff>13955</xdr:rowOff>
    </xdr:from>
    <xdr:to>
      <xdr:col>13</xdr:col>
      <xdr:colOff>27911</xdr:colOff>
      <xdr:row>14</xdr:row>
      <xdr:rowOff>104671</xdr:rowOff>
    </xdr:to>
    <mc:AlternateContent xmlns:mc="http://schemas.openxmlformats.org/markup-compatibility/2006" xmlns:a14="http://schemas.microsoft.com/office/drawing/2010/main">
      <mc:Choice Requires="a14">
        <xdr:graphicFrame macro="">
          <xdr:nvGraphicFramePr>
            <xdr:cNvPr id="28" name="Region--State">
              <a:extLst>
                <a:ext uri="{FF2B5EF4-FFF2-40B4-BE49-F238E27FC236}">
                  <a16:creationId xmlns:a16="http://schemas.microsoft.com/office/drawing/2014/main" id="{F65AD69D-8FF7-8B50-F17D-54474B79B1E6}"/>
                </a:ext>
              </a:extLst>
            </xdr:cNvPr>
            <xdr:cNvGraphicFramePr/>
          </xdr:nvGraphicFramePr>
          <xdr:xfrm>
            <a:off x="0" y="0"/>
            <a:ext cx="0" cy="0"/>
          </xdr:xfrm>
          <a:graphic>
            <a:graphicData uri="http://schemas.microsoft.com/office/drawing/2010/slicer">
              <sle:slicer xmlns:sle="http://schemas.microsoft.com/office/drawing/2010/slicer" name="Region--State"/>
            </a:graphicData>
          </a:graphic>
        </xdr:graphicFrame>
      </mc:Choice>
      <mc:Fallback xmlns="">
        <xdr:sp macro="" textlink="">
          <xdr:nvSpPr>
            <xdr:cNvPr id="0" name=""/>
            <xdr:cNvSpPr>
              <a:spLocks noTextEdit="1"/>
            </xdr:cNvSpPr>
          </xdr:nvSpPr>
          <xdr:spPr>
            <a:xfrm>
              <a:off x="3433187" y="1025768"/>
              <a:ext cx="3370384" cy="1283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99158</xdr:colOff>
      <xdr:row>7</xdr:row>
      <xdr:rowOff>0</xdr:rowOff>
    </xdr:from>
    <xdr:to>
      <xdr:col>19</xdr:col>
      <xdr:colOff>0</xdr:colOff>
      <xdr:row>14</xdr:row>
      <xdr:rowOff>104671</xdr:rowOff>
    </xdr:to>
    <mc:AlternateContent xmlns:mc="http://schemas.openxmlformats.org/markup-compatibility/2006" xmlns:a14="http://schemas.microsoft.com/office/drawing/2010/main">
      <mc:Choice Requires="a14">
        <xdr:graphicFrame macro="">
          <xdr:nvGraphicFramePr>
            <xdr:cNvPr id="29" name="Beverage Brand">
              <a:extLst>
                <a:ext uri="{FF2B5EF4-FFF2-40B4-BE49-F238E27FC236}">
                  <a16:creationId xmlns:a16="http://schemas.microsoft.com/office/drawing/2014/main" id="{5147F468-C62A-E189-4AB3-C3A92CAE38CA}"/>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6971269" y="1114778"/>
              <a:ext cx="3033509" cy="1304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93924</xdr:colOff>
      <xdr:row>6</xdr:row>
      <xdr:rowOff>98600</xdr:rowOff>
    </xdr:from>
    <xdr:to>
      <xdr:col>24</xdr:col>
      <xdr:colOff>1</xdr:colOff>
      <xdr:row>14</xdr:row>
      <xdr:rowOff>104670</xdr:rowOff>
    </xdr:to>
    <mc:AlternateContent xmlns:mc="http://schemas.openxmlformats.org/markup-compatibility/2006" xmlns:a14="http://schemas.microsoft.com/office/drawing/2010/main">
      <mc:Choice Requires="a14">
        <xdr:graphicFrame macro="">
          <xdr:nvGraphicFramePr>
            <xdr:cNvPr id="30" name="Months">
              <a:extLst>
                <a:ext uri="{FF2B5EF4-FFF2-40B4-BE49-F238E27FC236}">
                  <a16:creationId xmlns:a16="http://schemas.microsoft.com/office/drawing/2014/main" id="{9118B27B-3FD0-95FA-8E52-9B630AE5DA4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098702" y="1114600"/>
              <a:ext cx="2939966" cy="1304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14</xdr:col>
          <xdr:colOff>544286</xdr:colOff>
          <xdr:row>3</xdr:row>
          <xdr:rowOff>139560</xdr:rowOff>
        </xdr:from>
        <xdr:to>
          <xdr:col>17</xdr:col>
          <xdr:colOff>223295</xdr:colOff>
          <xdr:row>5</xdr:row>
          <xdr:rowOff>80019</xdr:rowOff>
        </xdr:to>
        <xdr:pic>
          <xdr:nvPicPr>
            <xdr:cNvPr id="5" name="Picture 4">
              <a:extLst>
                <a:ext uri="{FF2B5EF4-FFF2-40B4-BE49-F238E27FC236}">
                  <a16:creationId xmlns:a16="http://schemas.microsoft.com/office/drawing/2014/main" id="{7C087A12-B29E-0C53-B49B-E31662C37701}"/>
                </a:ext>
              </a:extLst>
            </xdr:cNvPr>
            <xdr:cNvPicPr>
              <a:picLocks noChangeAspect="1" noChangeArrowheads="1"/>
              <a:extLst>
                <a:ext uri="{84589F7E-364E-4C9E-8A38-B11213B215E9}">
                  <a14:cameraTool cellRange="#REF!" spid="_x0000_s1119"/>
                </a:ext>
              </a:extLst>
            </xdr:cNvPicPr>
          </xdr:nvPicPr>
          <xdr:blipFill>
            <a:blip xmlns:r="http://schemas.openxmlformats.org/officeDocument/2006/relationships" r:embed="rId13"/>
            <a:srcRect/>
            <a:stretch>
              <a:fillRect/>
            </a:stretch>
          </xdr:blipFill>
          <xdr:spPr bwMode="auto">
            <a:xfrm>
              <a:off x="7927033" y="502417"/>
              <a:ext cx="990877" cy="30331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CL" refreshedDate="46151.920091666667" createdVersion="8" refreshedVersion="8" minRefreshableVersion="3" recordCount="288" xr:uid="{FF15322B-B64D-483A-86DE-7E1B24CB8218}">
  <cacheSource type="worksheet">
    <worksheetSource name="Append1"/>
  </cacheSource>
  <cacheFields count="12">
    <cacheField name="Retailer" numFmtId="0">
      <sharedItems count="4">
        <s v="Costco"/>
        <s v="Target"/>
        <s v="Walgreens"/>
        <s v="Walmart"/>
      </sharedItems>
    </cacheField>
    <cacheField name="Contact" numFmtId="0">
      <sharedItems/>
    </cacheField>
    <cacheField name="Retailer ID" numFmtId="0">
      <sharedItems containsSemiMixedTypes="0" containsString="0" containsNumber="1" containsInteger="1" minValue="1128299" maxValue="1197831" count="4">
        <n v="1128299"/>
        <n v="1197831"/>
        <n v="1189833"/>
        <n v="1185732"/>
      </sharedItems>
    </cacheField>
    <cacheField name="Order Date" numFmtId="14">
      <sharedItems containsSemiMixedTypes="0" containsNonDate="0" containsDate="1" containsString="0" minDate="2022-01-02T00:00:00" maxDate="2022-12-20T00:00:00" count="48">
        <d v="2022-01-20T00:00:00"/>
        <d v="2022-02-20T00:00:00"/>
        <d v="2022-03-19T00:00:00"/>
        <d v="2022-04-20T00:00:00"/>
        <d v="2022-05-21T00:00:00"/>
        <d v="2022-06-20T00:00:00"/>
        <d v="2022-07-19T00:00:00"/>
        <d v="2022-08-20T00:00:00"/>
        <d v="2022-09-21T00:00:00"/>
        <d v="2022-10-20T00:00:00"/>
        <d v="2022-11-20T00:00:00"/>
        <d v="2022-12-19T00:00:00"/>
        <d v="2022-01-02T00:00:00"/>
        <d v="2022-02-01T00:00:00"/>
        <d v="2022-03-03T00:00:00"/>
        <d v="2022-04-02T00:00:00"/>
        <d v="2022-05-02T00:00:00"/>
        <d v="2022-06-01T00:00:00"/>
        <d v="2022-07-03T00:00:00"/>
        <d v="2022-08-05T00:00:00"/>
        <d v="2022-09-02T00:00:00"/>
        <d v="2022-10-01T00:00:00"/>
        <d v="2022-11-02T00:00:00"/>
        <d v="2022-12-01T00:00:00"/>
        <d v="2022-01-15T00:00:00"/>
        <d v="2022-02-15T00:00:00"/>
        <d v="2022-03-14T00:00:00"/>
        <d v="2022-04-15T00:00:00"/>
        <d v="2022-05-16T00:00:00"/>
        <d v="2022-06-15T00:00:00"/>
        <d v="2022-07-14T00:00:00"/>
        <d v="2022-08-15T00:00:00"/>
        <d v="2022-09-16T00:00:00"/>
        <d v="2022-10-15T00:00:00"/>
        <d v="2022-11-15T00:00:00"/>
        <d v="2022-12-14T00:00:00"/>
        <d v="2022-01-14T00:00:00"/>
        <d v="2022-02-12T00:00:00"/>
        <d v="2022-03-10T00:00:00"/>
        <d v="2022-04-11T00:00:00"/>
        <d v="2022-05-10T00:00:00"/>
        <d v="2022-06-12T00:00:00"/>
        <d v="2022-07-10T00:00:00"/>
        <d v="2022-08-11T00:00:00"/>
        <d v="2022-09-10T00:00:00"/>
        <d v="2022-10-12T00:00:00"/>
        <d v="2022-11-11T00:00:00"/>
        <d v="2022-12-10T00:00:00"/>
      </sharedItems>
      <fieldGroup par="11"/>
    </cacheField>
    <cacheField name="Payment Date" numFmtId="14">
      <sharedItems containsSemiMixedTypes="0" containsNonDate="0" containsDate="1" containsString="0" minDate="2022-02-01T00:00:00" maxDate="2023-01-19T00:00:00"/>
    </cacheField>
    <cacheField name="Region--State" numFmtId="0">
      <sharedItems count="3">
        <s v="West--California"/>
        <s v="South--Texas"/>
        <s v="Northeast--New York"/>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0.25" maxValue="0.8"/>
    </cacheField>
    <cacheField name="Units Sold" numFmtId="0">
      <sharedItems containsSemiMixedTypes="0" containsString="0" containsNumber="1" containsInteger="1" minValue="4250" maxValue="12750"/>
    </cacheField>
    <cacheField name="Revenue" numFmtId="164">
      <sharedItems containsSemiMixedTypes="0" containsString="0" containsNumber="1" minValue="2000" maxValue="7800"/>
    </cacheField>
    <cacheField name="Days (Order Date)" numFmtId="0" databaseField="0">
      <fieldGroup base="3">
        <rangePr groupBy="days" startDate="2022-01-02T00:00:00" endDate="2022-12-20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0/2022"/>
        </groupItems>
      </fieldGroup>
    </cacheField>
    <cacheField name="Months (Order Date)" numFmtId="0" databaseField="0">
      <fieldGroup base="3">
        <rangePr groupBy="months" startDate="2022-01-02T00:00:00" endDate="2022-12-20T00:00:00"/>
        <groupItems count="14">
          <s v="&lt;1/2/2022"/>
          <s v="Jan"/>
          <s v="Feb"/>
          <s v="Mar"/>
          <s v="Apr"/>
          <s v="May"/>
          <s v="Jun"/>
          <s v="Jul"/>
          <s v="Aug"/>
          <s v="Sep"/>
          <s v="Oct"/>
          <s v="Nov"/>
          <s v="Dec"/>
          <s v="&gt;12/20/2022"/>
        </groupItems>
      </fieldGroup>
    </cacheField>
  </cacheFields>
  <extLst>
    <ext xmlns:x14="http://schemas.microsoft.com/office/spreadsheetml/2009/9/main" uri="{725AE2AE-9491-48be-B2B4-4EB974FC3084}">
      <x14:pivotCacheDefinition pivotCacheId="1655037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x v="0"/>
    <s v="Ana -Costco"/>
    <x v="0"/>
    <x v="0"/>
    <d v="2022-02-19T00:00:00"/>
    <x v="0"/>
    <x v="0"/>
    <n v="0.39999999999999997"/>
    <n v="7750"/>
    <n v="3099.9999999999995"/>
  </r>
  <r>
    <x v="0"/>
    <s v="Ana -Costco"/>
    <x v="0"/>
    <x v="0"/>
    <d v="2022-03-26T00:00:00"/>
    <x v="0"/>
    <x v="1"/>
    <n v="0.5"/>
    <n v="7750"/>
    <n v="3875"/>
  </r>
  <r>
    <x v="0"/>
    <s v="Ana -Costco"/>
    <x v="0"/>
    <x v="0"/>
    <d v="2022-03-26T00:00:00"/>
    <x v="0"/>
    <x v="2"/>
    <n v="0.5"/>
    <n v="7750"/>
    <n v="3875"/>
  </r>
  <r>
    <x v="0"/>
    <s v="Ana -Costco"/>
    <x v="0"/>
    <x v="0"/>
    <d v="2022-02-26T00:00:00"/>
    <x v="0"/>
    <x v="3"/>
    <n v="0.5"/>
    <n v="6250"/>
    <n v="3125"/>
  </r>
  <r>
    <x v="0"/>
    <s v="Ana -Costco"/>
    <x v="0"/>
    <x v="0"/>
    <d v="2022-02-19T00:00:00"/>
    <x v="0"/>
    <x v="4"/>
    <n v="0.55000000000000004"/>
    <n v="5750"/>
    <n v="3162.5000000000005"/>
  </r>
  <r>
    <x v="0"/>
    <s v="Ana -Costco"/>
    <x v="0"/>
    <x v="0"/>
    <d v="2022-02-19T00:00:00"/>
    <x v="0"/>
    <x v="5"/>
    <n v="0.5"/>
    <n v="7750"/>
    <n v="3875"/>
  </r>
  <r>
    <x v="0"/>
    <s v="Ana -Costco"/>
    <x v="0"/>
    <x v="1"/>
    <d v="2022-03-22T00:00:00"/>
    <x v="0"/>
    <x v="0"/>
    <n v="0.39999999999999997"/>
    <n v="8250"/>
    <n v="3299.9999999999995"/>
  </r>
  <r>
    <x v="0"/>
    <s v="Ana -Costco"/>
    <x v="0"/>
    <x v="1"/>
    <d v="2022-03-22T00:00:00"/>
    <x v="0"/>
    <x v="1"/>
    <n v="0.5"/>
    <n v="7250"/>
    <n v="3625"/>
  </r>
  <r>
    <x v="0"/>
    <s v="Ana -Costco"/>
    <x v="0"/>
    <x v="1"/>
    <d v="2022-03-22T00:00:00"/>
    <x v="0"/>
    <x v="2"/>
    <n v="0.5"/>
    <n v="7250"/>
    <n v="3625"/>
  </r>
  <r>
    <x v="0"/>
    <s v="Ana -Costco"/>
    <x v="0"/>
    <x v="1"/>
    <d v="2022-03-22T00:00:00"/>
    <x v="0"/>
    <x v="3"/>
    <n v="0.5"/>
    <n v="5750"/>
    <n v="2875"/>
  </r>
  <r>
    <x v="0"/>
    <s v="Ana -Costco"/>
    <x v="0"/>
    <x v="1"/>
    <d v="2022-03-25T00:00:00"/>
    <x v="0"/>
    <x v="4"/>
    <n v="0.55000000000000004"/>
    <n v="5000"/>
    <n v="2750"/>
  </r>
  <r>
    <x v="0"/>
    <s v="Ana -Costco"/>
    <x v="0"/>
    <x v="1"/>
    <d v="2022-03-22T00:00:00"/>
    <x v="0"/>
    <x v="5"/>
    <n v="0.5"/>
    <n v="7000"/>
    <n v="3500"/>
  </r>
  <r>
    <x v="0"/>
    <s v="Ana -Costco"/>
    <x v="0"/>
    <x v="2"/>
    <d v="2022-04-18T00:00:00"/>
    <x v="0"/>
    <x v="0"/>
    <n v="0.5"/>
    <n v="8500"/>
    <n v="4250"/>
  </r>
  <r>
    <x v="0"/>
    <s v="Ana -Costco"/>
    <x v="0"/>
    <x v="2"/>
    <d v="2022-04-18T00:00:00"/>
    <x v="0"/>
    <x v="1"/>
    <n v="0.6"/>
    <n v="7000"/>
    <n v="4200"/>
  </r>
  <r>
    <x v="0"/>
    <s v="Ana -Costco"/>
    <x v="0"/>
    <x v="2"/>
    <d v="2022-04-18T00:00:00"/>
    <x v="0"/>
    <x v="2"/>
    <n v="0.6"/>
    <n v="7000"/>
    <n v="4200"/>
  </r>
  <r>
    <x v="0"/>
    <s v="Ana -Costco"/>
    <x v="0"/>
    <x v="2"/>
    <d v="2022-04-18T00:00:00"/>
    <x v="0"/>
    <x v="3"/>
    <n v="0.6"/>
    <n v="6000"/>
    <n v="3600"/>
  </r>
  <r>
    <x v="0"/>
    <s v="Ana -Costco"/>
    <x v="0"/>
    <x v="2"/>
    <d v="2022-04-18T00:00:00"/>
    <x v="0"/>
    <x v="4"/>
    <n v="0.65"/>
    <n v="5000"/>
    <n v="3250"/>
  </r>
  <r>
    <x v="0"/>
    <s v="Ana -Costco"/>
    <x v="0"/>
    <x v="2"/>
    <d v="2022-04-18T00:00:00"/>
    <x v="0"/>
    <x v="5"/>
    <n v="0.6"/>
    <n v="7000"/>
    <n v="4200"/>
  </r>
  <r>
    <x v="0"/>
    <s v="Ana -Costco"/>
    <x v="0"/>
    <x v="3"/>
    <d v="2022-05-20T00:00:00"/>
    <x v="0"/>
    <x v="0"/>
    <n v="0.6"/>
    <n v="8750"/>
    <n v="5250"/>
  </r>
  <r>
    <x v="0"/>
    <s v="Ana -Costco"/>
    <x v="0"/>
    <x v="3"/>
    <d v="2022-05-20T00:00:00"/>
    <x v="0"/>
    <x v="1"/>
    <n v="0.65"/>
    <n v="6750"/>
    <n v="4387.5"/>
  </r>
  <r>
    <x v="0"/>
    <s v="Ana -Costco"/>
    <x v="0"/>
    <x v="3"/>
    <d v="2022-05-20T00:00:00"/>
    <x v="0"/>
    <x v="2"/>
    <n v="0.65"/>
    <n v="7250"/>
    <n v="4712.5"/>
  </r>
  <r>
    <x v="0"/>
    <s v="Ana -Costco"/>
    <x v="0"/>
    <x v="3"/>
    <d v="2022-05-20T00:00:00"/>
    <x v="0"/>
    <x v="3"/>
    <n v="0.6"/>
    <n v="6250"/>
    <n v="3750"/>
  </r>
  <r>
    <x v="0"/>
    <s v="Ana -Costco"/>
    <x v="0"/>
    <x v="3"/>
    <d v="2022-05-20T00:00:00"/>
    <x v="0"/>
    <x v="4"/>
    <n v="0.65"/>
    <n v="5250"/>
    <n v="3412.5"/>
  </r>
  <r>
    <x v="0"/>
    <s v="Ana -Costco"/>
    <x v="0"/>
    <x v="3"/>
    <d v="2022-05-20T00:00:00"/>
    <x v="0"/>
    <x v="5"/>
    <n v="0.8"/>
    <n v="7000"/>
    <n v="5600"/>
  </r>
  <r>
    <x v="0"/>
    <s v="Ana -Costco"/>
    <x v="0"/>
    <x v="4"/>
    <d v="2022-06-20T00:00:00"/>
    <x v="0"/>
    <x v="0"/>
    <n v="0.6"/>
    <n v="9000"/>
    <n v="5400"/>
  </r>
  <r>
    <x v="0"/>
    <s v="Ana -Costco"/>
    <x v="0"/>
    <x v="4"/>
    <d v="2022-06-20T00:00:00"/>
    <x v="0"/>
    <x v="1"/>
    <n v="0.65"/>
    <n v="7500"/>
    <n v="4875"/>
  </r>
  <r>
    <x v="0"/>
    <s v="Ana -Costco"/>
    <x v="0"/>
    <x v="4"/>
    <d v="2022-06-20T00:00:00"/>
    <x v="0"/>
    <x v="2"/>
    <n v="0.65"/>
    <n v="7500"/>
    <n v="4875"/>
  </r>
  <r>
    <x v="0"/>
    <s v="Ana -Costco"/>
    <x v="0"/>
    <x v="4"/>
    <d v="2022-06-20T00:00:00"/>
    <x v="0"/>
    <x v="3"/>
    <n v="0.6"/>
    <n v="6500"/>
    <n v="3900"/>
  </r>
  <r>
    <x v="0"/>
    <s v="Ana -Costco"/>
    <x v="0"/>
    <x v="4"/>
    <d v="2022-06-20T00:00:00"/>
    <x v="0"/>
    <x v="4"/>
    <n v="0.65"/>
    <n v="5500"/>
    <n v="3575"/>
  </r>
  <r>
    <x v="0"/>
    <s v="Ana -Costco"/>
    <x v="0"/>
    <x v="4"/>
    <d v="2022-06-20T00:00:00"/>
    <x v="0"/>
    <x v="5"/>
    <n v="0.8"/>
    <n v="7250"/>
    <n v="5800"/>
  </r>
  <r>
    <x v="0"/>
    <s v="Ana -Costco"/>
    <x v="0"/>
    <x v="5"/>
    <d v="2022-07-20T00:00:00"/>
    <x v="0"/>
    <x v="0"/>
    <n v="0.6"/>
    <n v="9750"/>
    <n v="5850"/>
  </r>
  <r>
    <x v="0"/>
    <s v="Ana -Costco"/>
    <x v="0"/>
    <x v="5"/>
    <d v="2022-07-20T00:00:00"/>
    <x v="0"/>
    <x v="1"/>
    <n v="0.65"/>
    <n v="8250"/>
    <n v="5362.5"/>
  </r>
  <r>
    <x v="0"/>
    <s v="Ana -Costco"/>
    <x v="0"/>
    <x v="5"/>
    <d v="2022-07-20T00:00:00"/>
    <x v="0"/>
    <x v="2"/>
    <n v="0.65"/>
    <n v="8250"/>
    <n v="5362.5"/>
  </r>
  <r>
    <x v="0"/>
    <s v="Ana -Costco"/>
    <x v="0"/>
    <x v="5"/>
    <d v="2022-07-20T00:00:00"/>
    <x v="0"/>
    <x v="3"/>
    <n v="0.6"/>
    <n v="7000"/>
    <n v="4200"/>
  </r>
  <r>
    <x v="0"/>
    <s v="Ana -Costco"/>
    <x v="0"/>
    <x v="5"/>
    <d v="2022-07-20T00:00:00"/>
    <x v="0"/>
    <x v="4"/>
    <n v="0.65"/>
    <n v="5750"/>
    <n v="3737.5"/>
  </r>
  <r>
    <x v="0"/>
    <s v="Ana -Costco"/>
    <x v="0"/>
    <x v="5"/>
    <d v="2022-07-20T00:00:00"/>
    <x v="0"/>
    <x v="5"/>
    <n v="0.8"/>
    <n v="8750"/>
    <n v="7000"/>
  </r>
  <r>
    <x v="0"/>
    <s v="Ana -Costco"/>
    <x v="0"/>
    <x v="6"/>
    <d v="2022-08-18T00:00:00"/>
    <x v="0"/>
    <x v="0"/>
    <n v="0.6"/>
    <n v="10250"/>
    <n v="6150"/>
  </r>
  <r>
    <x v="0"/>
    <s v="Ana -Costco"/>
    <x v="0"/>
    <x v="6"/>
    <d v="2022-08-18T00:00:00"/>
    <x v="0"/>
    <x v="1"/>
    <n v="0.65"/>
    <n v="8750"/>
    <n v="5687.5"/>
  </r>
  <r>
    <x v="0"/>
    <s v="Ana -Costco"/>
    <x v="0"/>
    <x v="6"/>
    <d v="2022-08-18T00:00:00"/>
    <x v="0"/>
    <x v="2"/>
    <n v="0.65"/>
    <n v="8250"/>
    <n v="5362.5"/>
  </r>
  <r>
    <x v="0"/>
    <s v="Ana -Costco"/>
    <x v="0"/>
    <x v="6"/>
    <d v="2022-08-18T00:00:00"/>
    <x v="0"/>
    <x v="3"/>
    <n v="0.6"/>
    <n v="7250"/>
    <n v="4350"/>
  </r>
  <r>
    <x v="0"/>
    <s v="Ana -Costco"/>
    <x v="0"/>
    <x v="6"/>
    <d v="2022-08-18T00:00:00"/>
    <x v="0"/>
    <x v="4"/>
    <n v="0.65"/>
    <n v="7750"/>
    <n v="5037.5"/>
  </r>
  <r>
    <x v="0"/>
    <s v="Ana -Costco"/>
    <x v="0"/>
    <x v="6"/>
    <d v="2022-08-18T00:00:00"/>
    <x v="0"/>
    <x v="5"/>
    <n v="0.8"/>
    <n v="7750"/>
    <n v="6200"/>
  </r>
  <r>
    <x v="0"/>
    <s v="Ana -Costco"/>
    <x v="0"/>
    <x v="7"/>
    <d v="2022-09-19T00:00:00"/>
    <x v="0"/>
    <x v="0"/>
    <n v="0.65"/>
    <n v="9750"/>
    <n v="6337.5"/>
  </r>
  <r>
    <x v="0"/>
    <s v="Ana -Costco"/>
    <x v="0"/>
    <x v="7"/>
    <d v="2022-09-19T00:00:00"/>
    <x v="0"/>
    <x v="1"/>
    <n v="0.70000000000000007"/>
    <n v="9250"/>
    <n v="6475.0000000000009"/>
  </r>
  <r>
    <x v="0"/>
    <s v="Ana -Costco"/>
    <x v="0"/>
    <x v="7"/>
    <d v="2022-09-19T00:00:00"/>
    <x v="0"/>
    <x v="2"/>
    <n v="0.65"/>
    <n v="8000"/>
    <n v="5200"/>
  </r>
  <r>
    <x v="0"/>
    <s v="Ana -Costco"/>
    <x v="0"/>
    <x v="7"/>
    <d v="2022-09-19T00:00:00"/>
    <x v="0"/>
    <x v="3"/>
    <n v="0.65"/>
    <n v="7500"/>
    <n v="4875"/>
  </r>
  <r>
    <x v="0"/>
    <s v="Ana -Costco"/>
    <x v="0"/>
    <x v="7"/>
    <d v="2022-09-19T00:00:00"/>
    <x v="0"/>
    <x v="4"/>
    <n v="0.75"/>
    <n v="7500"/>
    <n v="5625"/>
  </r>
  <r>
    <x v="0"/>
    <s v="Ana -Costco"/>
    <x v="0"/>
    <x v="7"/>
    <d v="2022-09-19T00:00:00"/>
    <x v="0"/>
    <x v="5"/>
    <n v="0.8"/>
    <n v="7250"/>
    <n v="5800"/>
  </r>
  <r>
    <x v="0"/>
    <s v="Ana -Costco"/>
    <x v="0"/>
    <x v="8"/>
    <d v="2022-10-21T00:00:00"/>
    <x v="0"/>
    <x v="0"/>
    <n v="0.55000000000000004"/>
    <n v="9250"/>
    <n v="5087.5"/>
  </r>
  <r>
    <x v="0"/>
    <s v="Ana -Costco"/>
    <x v="0"/>
    <x v="8"/>
    <d v="2022-10-21T00:00:00"/>
    <x v="0"/>
    <x v="1"/>
    <n v="0.60000000000000009"/>
    <n v="9250"/>
    <n v="5550.0000000000009"/>
  </r>
  <r>
    <x v="0"/>
    <s v="Ana -Costco"/>
    <x v="0"/>
    <x v="8"/>
    <d v="2022-10-21T00:00:00"/>
    <x v="0"/>
    <x v="2"/>
    <n v="0.55000000000000004"/>
    <n v="7750"/>
    <n v="4262.5"/>
  </r>
  <r>
    <x v="0"/>
    <s v="Ana -Costco"/>
    <x v="0"/>
    <x v="8"/>
    <d v="2022-10-21T00:00:00"/>
    <x v="0"/>
    <x v="3"/>
    <n v="0.55000000000000004"/>
    <n v="7250"/>
    <n v="3987.5000000000005"/>
  </r>
  <r>
    <x v="0"/>
    <s v="Ana -Costco"/>
    <x v="0"/>
    <x v="8"/>
    <d v="2022-10-21T00:00:00"/>
    <x v="0"/>
    <x v="4"/>
    <n v="0.65"/>
    <n v="7250"/>
    <n v="4712.5"/>
  </r>
  <r>
    <x v="0"/>
    <s v="Ana -Costco"/>
    <x v="0"/>
    <x v="8"/>
    <d v="2022-10-21T00:00:00"/>
    <x v="0"/>
    <x v="5"/>
    <n v="0.70000000000000007"/>
    <n v="7750"/>
    <n v="5425.0000000000009"/>
  </r>
  <r>
    <x v="0"/>
    <s v="Ana -Costco"/>
    <x v="0"/>
    <x v="9"/>
    <d v="2022-11-19T00:00:00"/>
    <x v="0"/>
    <x v="0"/>
    <n v="0.55000000000000004"/>
    <n v="8750"/>
    <n v="4812.5"/>
  </r>
  <r>
    <x v="0"/>
    <s v="Ana -Costco"/>
    <x v="0"/>
    <x v="9"/>
    <d v="2022-11-19T00:00:00"/>
    <x v="0"/>
    <x v="1"/>
    <n v="0.60000000000000009"/>
    <n v="8750"/>
    <n v="5250.0000000000009"/>
  </r>
  <r>
    <x v="0"/>
    <s v="Ana -Costco"/>
    <x v="0"/>
    <x v="9"/>
    <d v="2022-11-19T00:00:00"/>
    <x v="0"/>
    <x v="2"/>
    <n v="0.55000000000000004"/>
    <n v="7000"/>
    <n v="3850.0000000000005"/>
  </r>
  <r>
    <x v="0"/>
    <s v="Ana -Costco"/>
    <x v="0"/>
    <x v="9"/>
    <d v="2022-11-19T00:00:00"/>
    <x v="0"/>
    <x v="3"/>
    <n v="0.55000000000000004"/>
    <n v="6750"/>
    <n v="3712.5000000000005"/>
  </r>
  <r>
    <x v="0"/>
    <s v="Ana -Costco"/>
    <x v="0"/>
    <x v="9"/>
    <d v="2022-11-19T00:00:00"/>
    <x v="0"/>
    <x v="4"/>
    <n v="0.65"/>
    <n v="6500"/>
    <n v="4225"/>
  </r>
  <r>
    <x v="0"/>
    <s v="Ana -Costco"/>
    <x v="0"/>
    <x v="9"/>
    <d v="2022-11-19T00:00:00"/>
    <x v="0"/>
    <x v="5"/>
    <n v="0.70000000000000007"/>
    <n v="7000"/>
    <n v="4900.0000000000009"/>
  </r>
  <r>
    <x v="0"/>
    <s v="Ana -Costco"/>
    <x v="0"/>
    <x v="10"/>
    <d v="2022-12-20T00:00:00"/>
    <x v="0"/>
    <x v="0"/>
    <n v="0.55000000000000004"/>
    <n v="8750"/>
    <n v="4812.5"/>
  </r>
  <r>
    <x v="0"/>
    <s v="Ana -Costco"/>
    <x v="0"/>
    <x v="10"/>
    <d v="2022-12-20T00:00:00"/>
    <x v="0"/>
    <x v="1"/>
    <n v="0.60000000000000009"/>
    <n v="8750"/>
    <n v="5250.0000000000009"/>
  </r>
  <r>
    <x v="0"/>
    <s v="Ana -Costco"/>
    <x v="0"/>
    <x v="10"/>
    <d v="2022-12-20T00:00:00"/>
    <x v="0"/>
    <x v="2"/>
    <n v="0.55000000000000004"/>
    <n v="7250"/>
    <n v="3987.5000000000005"/>
  </r>
  <r>
    <x v="0"/>
    <s v="Ana -Costco"/>
    <x v="0"/>
    <x v="10"/>
    <d v="2022-12-20T00:00:00"/>
    <x v="0"/>
    <x v="3"/>
    <n v="0.55000000000000004"/>
    <n v="7000"/>
    <n v="3850.0000000000005"/>
  </r>
  <r>
    <x v="0"/>
    <s v="Ana -Costco"/>
    <x v="0"/>
    <x v="10"/>
    <d v="2022-12-20T00:00:00"/>
    <x v="0"/>
    <x v="4"/>
    <n v="0.65"/>
    <n v="6500"/>
    <n v="4225"/>
  </r>
  <r>
    <x v="0"/>
    <s v="Ana -Costco"/>
    <x v="0"/>
    <x v="10"/>
    <d v="2022-12-20T00:00:00"/>
    <x v="0"/>
    <x v="5"/>
    <n v="0.70000000000000007"/>
    <n v="7750"/>
    <n v="5425.0000000000009"/>
  </r>
  <r>
    <x v="0"/>
    <s v="Ana -Costco"/>
    <x v="0"/>
    <x v="11"/>
    <d v="2023-01-18T00:00:00"/>
    <x v="0"/>
    <x v="0"/>
    <n v="0.55000000000000004"/>
    <n v="9750"/>
    <n v="5362.5"/>
  </r>
  <r>
    <x v="0"/>
    <s v="Ana -Costco"/>
    <x v="0"/>
    <x v="11"/>
    <d v="2023-01-18T00:00:00"/>
    <x v="0"/>
    <x v="1"/>
    <n v="0.60000000000000009"/>
    <n v="9750"/>
    <n v="5850.0000000000009"/>
  </r>
  <r>
    <x v="0"/>
    <s v="Ana -Costco"/>
    <x v="0"/>
    <x v="11"/>
    <d v="2023-01-18T00:00:00"/>
    <x v="0"/>
    <x v="2"/>
    <n v="0.55000000000000004"/>
    <n v="7750"/>
    <n v="4262.5"/>
  </r>
  <r>
    <x v="0"/>
    <s v="Ana -Costco"/>
    <x v="0"/>
    <x v="11"/>
    <d v="2023-01-18T00:00:00"/>
    <x v="0"/>
    <x v="3"/>
    <n v="0.55000000000000004"/>
    <n v="7750"/>
    <n v="4262.5"/>
  </r>
  <r>
    <x v="0"/>
    <s v="Ana -Costco"/>
    <x v="0"/>
    <x v="11"/>
    <d v="2023-01-18T00:00:00"/>
    <x v="0"/>
    <x v="4"/>
    <n v="0.65"/>
    <n v="7000"/>
    <n v="4550"/>
  </r>
  <r>
    <x v="0"/>
    <s v="Ana -Costco"/>
    <x v="0"/>
    <x v="11"/>
    <d v="2023-01-18T00:00:00"/>
    <x v="0"/>
    <x v="5"/>
    <n v="0.70000000000000007"/>
    <n v="8000"/>
    <n v="5600.0000000000009"/>
  </r>
  <r>
    <x v="1"/>
    <s v="Stuart -Target"/>
    <x v="1"/>
    <x v="12"/>
    <d v="2022-02-01T00:00:00"/>
    <x v="1"/>
    <x v="0"/>
    <n v="0.25"/>
    <n v="9000"/>
    <n v="2250"/>
  </r>
  <r>
    <x v="1"/>
    <s v="Stuart -Target"/>
    <x v="1"/>
    <x v="12"/>
    <d v="2022-02-01T00:00:00"/>
    <x v="1"/>
    <x v="1"/>
    <n v="0.35"/>
    <n v="9000"/>
    <n v="3150"/>
  </r>
  <r>
    <x v="1"/>
    <s v="Stuart -Target"/>
    <x v="1"/>
    <x v="12"/>
    <d v="2022-02-01T00:00:00"/>
    <x v="1"/>
    <x v="2"/>
    <n v="0.35"/>
    <n v="7000"/>
    <n v="2450"/>
  </r>
  <r>
    <x v="1"/>
    <s v="Stuart -Target"/>
    <x v="1"/>
    <x v="12"/>
    <d v="2022-02-01T00:00:00"/>
    <x v="1"/>
    <x v="3"/>
    <n v="0.35"/>
    <n v="7000"/>
    <n v="2450"/>
  </r>
  <r>
    <x v="1"/>
    <s v="Stuart -Target"/>
    <x v="1"/>
    <x v="12"/>
    <d v="2022-02-01T00:00:00"/>
    <x v="1"/>
    <x v="4"/>
    <n v="0.4"/>
    <n v="5500"/>
    <n v="2200"/>
  </r>
  <r>
    <x v="1"/>
    <s v="Stuart -Target"/>
    <x v="1"/>
    <x v="12"/>
    <d v="2022-02-01T00:00:00"/>
    <x v="1"/>
    <x v="5"/>
    <n v="0.35"/>
    <n v="7000"/>
    <n v="2450"/>
  </r>
  <r>
    <x v="1"/>
    <s v="Stuart -Target"/>
    <x v="1"/>
    <x v="13"/>
    <d v="2022-03-03T00:00:00"/>
    <x v="1"/>
    <x v="0"/>
    <n v="0.25"/>
    <n v="8500"/>
    <n v="2125"/>
  </r>
  <r>
    <x v="1"/>
    <s v="Stuart -Target"/>
    <x v="1"/>
    <x v="13"/>
    <d v="2022-03-11T00:00:00"/>
    <x v="1"/>
    <x v="1"/>
    <n v="0.35"/>
    <n v="8500"/>
    <n v="2975"/>
  </r>
  <r>
    <x v="1"/>
    <s v="Stuart -Target"/>
    <x v="1"/>
    <x v="13"/>
    <d v="2022-03-22T00:00:00"/>
    <x v="1"/>
    <x v="2"/>
    <n v="0.35"/>
    <n v="6750"/>
    <n v="2362.5"/>
  </r>
  <r>
    <x v="1"/>
    <s v="Stuart -Target"/>
    <x v="1"/>
    <x v="13"/>
    <d v="2022-03-03T00:00:00"/>
    <x v="1"/>
    <x v="3"/>
    <n v="0.35"/>
    <n v="6250"/>
    <n v="2187.5"/>
  </r>
  <r>
    <x v="1"/>
    <s v="Stuart -Target"/>
    <x v="1"/>
    <x v="13"/>
    <d v="2022-03-03T00:00:00"/>
    <x v="1"/>
    <x v="4"/>
    <n v="0.4"/>
    <n v="5000"/>
    <n v="2000"/>
  </r>
  <r>
    <x v="1"/>
    <s v="Stuart -Target"/>
    <x v="1"/>
    <x v="13"/>
    <d v="2022-03-03T00:00:00"/>
    <x v="1"/>
    <x v="5"/>
    <n v="0.35"/>
    <n v="7000"/>
    <n v="2450"/>
  </r>
  <r>
    <x v="1"/>
    <s v="Stuart -Target"/>
    <x v="1"/>
    <x v="14"/>
    <d v="2022-04-02T00:00:00"/>
    <x v="1"/>
    <x v="0"/>
    <n v="0.3"/>
    <n v="8750"/>
    <n v="2625"/>
  </r>
  <r>
    <x v="1"/>
    <s v="Stuart -Target"/>
    <x v="1"/>
    <x v="14"/>
    <d v="2022-04-02T00:00:00"/>
    <x v="1"/>
    <x v="1"/>
    <n v="0.4"/>
    <n v="8750"/>
    <n v="3500"/>
  </r>
  <r>
    <x v="1"/>
    <s v="Stuart -Target"/>
    <x v="1"/>
    <x v="14"/>
    <d v="2022-04-02T00:00:00"/>
    <x v="1"/>
    <x v="2"/>
    <n v="0.35"/>
    <n v="7000"/>
    <n v="2450"/>
  </r>
  <r>
    <x v="1"/>
    <s v="Stuart -Target"/>
    <x v="1"/>
    <x v="14"/>
    <d v="2022-04-02T00:00:00"/>
    <x v="1"/>
    <x v="3"/>
    <n v="0.4"/>
    <n v="6000"/>
    <n v="2400"/>
  </r>
  <r>
    <x v="1"/>
    <s v="Stuart -Target"/>
    <x v="1"/>
    <x v="14"/>
    <d v="2022-04-02T00:00:00"/>
    <x v="1"/>
    <x v="4"/>
    <n v="0.45"/>
    <n v="5000"/>
    <n v="2250"/>
  </r>
  <r>
    <x v="1"/>
    <s v="Stuart -Target"/>
    <x v="1"/>
    <x v="14"/>
    <d v="2022-04-02T00:00:00"/>
    <x v="1"/>
    <x v="5"/>
    <n v="0.4"/>
    <n v="6500"/>
    <n v="2600"/>
  </r>
  <r>
    <x v="1"/>
    <s v="Stuart -Target"/>
    <x v="1"/>
    <x v="15"/>
    <d v="2022-05-02T00:00:00"/>
    <x v="1"/>
    <x v="0"/>
    <n v="0.3"/>
    <n v="9000"/>
    <n v="2700"/>
  </r>
  <r>
    <x v="1"/>
    <s v="Stuart -Target"/>
    <x v="1"/>
    <x v="15"/>
    <d v="2022-05-02T00:00:00"/>
    <x v="1"/>
    <x v="1"/>
    <n v="0.4"/>
    <n v="9000"/>
    <n v="3600"/>
  </r>
  <r>
    <x v="1"/>
    <s v="Stuart -Target"/>
    <x v="1"/>
    <x v="15"/>
    <d v="2022-05-02T00:00:00"/>
    <x v="1"/>
    <x v="2"/>
    <n v="0.35"/>
    <n v="7250"/>
    <n v="2537.5"/>
  </r>
  <r>
    <x v="1"/>
    <s v="Stuart -Target"/>
    <x v="1"/>
    <x v="15"/>
    <d v="2022-05-02T00:00:00"/>
    <x v="1"/>
    <x v="3"/>
    <n v="0.4"/>
    <n v="6250"/>
    <n v="2500"/>
  </r>
  <r>
    <x v="1"/>
    <s v="Stuart -Target"/>
    <x v="1"/>
    <x v="15"/>
    <d v="2022-05-02T00:00:00"/>
    <x v="1"/>
    <x v="4"/>
    <n v="0.45"/>
    <n v="5250"/>
    <n v="2362.5"/>
  </r>
  <r>
    <x v="1"/>
    <s v="Stuart -Target"/>
    <x v="1"/>
    <x v="15"/>
    <d v="2022-05-02T00:00:00"/>
    <x v="1"/>
    <x v="5"/>
    <n v="0.4"/>
    <n v="8000"/>
    <n v="3200"/>
  </r>
  <r>
    <x v="1"/>
    <s v="Stuart -Target"/>
    <x v="1"/>
    <x v="16"/>
    <d v="2022-06-01T00:00:00"/>
    <x v="1"/>
    <x v="0"/>
    <n v="0.3"/>
    <n v="9250"/>
    <n v="2775"/>
  </r>
  <r>
    <x v="1"/>
    <s v="Stuart -Target"/>
    <x v="1"/>
    <x v="16"/>
    <d v="2022-06-01T00:00:00"/>
    <x v="1"/>
    <x v="1"/>
    <n v="0.4"/>
    <n v="9250"/>
    <n v="3700"/>
  </r>
  <r>
    <x v="1"/>
    <s v="Stuart -Target"/>
    <x v="1"/>
    <x v="16"/>
    <d v="2022-06-01T00:00:00"/>
    <x v="1"/>
    <x v="2"/>
    <n v="0.35"/>
    <n v="7750"/>
    <n v="2712.5"/>
  </r>
  <r>
    <x v="1"/>
    <s v="Stuart -Target"/>
    <x v="1"/>
    <x v="16"/>
    <d v="2022-06-01T00:00:00"/>
    <x v="1"/>
    <x v="3"/>
    <n v="0.4"/>
    <n v="7000"/>
    <n v="2800"/>
  </r>
  <r>
    <x v="1"/>
    <s v="Stuart -Target"/>
    <x v="1"/>
    <x v="16"/>
    <d v="2022-06-01T00:00:00"/>
    <x v="1"/>
    <x v="4"/>
    <n v="0.45"/>
    <n v="6000"/>
    <n v="2700"/>
  </r>
  <r>
    <x v="1"/>
    <s v="Stuart -Target"/>
    <x v="1"/>
    <x v="16"/>
    <d v="2022-06-01T00:00:00"/>
    <x v="1"/>
    <x v="5"/>
    <n v="0.4"/>
    <n v="9500"/>
    <n v="3800"/>
  </r>
  <r>
    <x v="1"/>
    <s v="Stuart -Target"/>
    <x v="1"/>
    <x v="17"/>
    <d v="2022-07-01T00:00:00"/>
    <x v="1"/>
    <x v="0"/>
    <n v="0.4"/>
    <n v="9500"/>
    <n v="3800"/>
  </r>
  <r>
    <x v="1"/>
    <s v="Stuart -Target"/>
    <x v="1"/>
    <x v="17"/>
    <d v="2022-07-01T00:00:00"/>
    <x v="1"/>
    <x v="1"/>
    <n v="0.45"/>
    <n v="9500"/>
    <n v="4275"/>
  </r>
  <r>
    <x v="1"/>
    <s v="Stuart -Target"/>
    <x v="1"/>
    <x v="17"/>
    <d v="2022-07-01T00:00:00"/>
    <x v="1"/>
    <x v="2"/>
    <n v="0.4"/>
    <n v="8000"/>
    <n v="3200"/>
  </r>
  <r>
    <x v="1"/>
    <s v="Stuart -Target"/>
    <x v="1"/>
    <x v="17"/>
    <d v="2022-07-01T00:00:00"/>
    <x v="1"/>
    <x v="3"/>
    <n v="0.4"/>
    <n v="7500"/>
    <n v="3000"/>
  </r>
  <r>
    <x v="1"/>
    <s v="Stuart -Target"/>
    <x v="1"/>
    <x v="17"/>
    <d v="2022-07-01T00:00:00"/>
    <x v="1"/>
    <x v="4"/>
    <n v="0.45"/>
    <n v="6500"/>
    <n v="2925"/>
  </r>
  <r>
    <x v="1"/>
    <s v="Stuart -Target"/>
    <x v="1"/>
    <x v="17"/>
    <d v="2022-07-01T00:00:00"/>
    <x v="1"/>
    <x v="5"/>
    <n v="0.5"/>
    <n v="10000"/>
    <n v="5000"/>
  </r>
  <r>
    <x v="1"/>
    <s v="Stuart -Target"/>
    <x v="1"/>
    <x v="18"/>
    <d v="2022-08-02T00:00:00"/>
    <x v="1"/>
    <x v="0"/>
    <n v="0.4"/>
    <n v="9500"/>
    <n v="3800"/>
  </r>
  <r>
    <x v="1"/>
    <s v="Stuart -Target"/>
    <x v="1"/>
    <x v="18"/>
    <d v="2022-08-02T00:00:00"/>
    <x v="1"/>
    <x v="1"/>
    <n v="0.45"/>
    <n v="9500"/>
    <n v="4275"/>
  </r>
  <r>
    <x v="1"/>
    <s v="Stuart -Target"/>
    <x v="1"/>
    <x v="18"/>
    <d v="2022-08-02T00:00:00"/>
    <x v="1"/>
    <x v="2"/>
    <n v="0.4"/>
    <n v="11000"/>
    <n v="4400"/>
  </r>
  <r>
    <x v="1"/>
    <s v="Stuart -Target"/>
    <x v="1"/>
    <x v="18"/>
    <d v="2022-08-02T00:00:00"/>
    <x v="1"/>
    <x v="3"/>
    <n v="0.4"/>
    <n v="7000"/>
    <n v="2800"/>
  </r>
  <r>
    <x v="1"/>
    <s v="Stuart -Target"/>
    <x v="1"/>
    <x v="18"/>
    <d v="2022-08-02T00:00:00"/>
    <x v="1"/>
    <x v="4"/>
    <n v="0.45"/>
    <n v="7000"/>
    <n v="3150"/>
  </r>
  <r>
    <x v="1"/>
    <s v="Stuart -Target"/>
    <x v="1"/>
    <x v="18"/>
    <d v="2022-08-02T00:00:00"/>
    <x v="1"/>
    <x v="5"/>
    <n v="0.5"/>
    <n v="9750"/>
    <n v="4875"/>
  </r>
  <r>
    <x v="1"/>
    <s v="Stuart -Target"/>
    <x v="1"/>
    <x v="19"/>
    <d v="2022-09-04T00:00:00"/>
    <x v="1"/>
    <x v="0"/>
    <n v="0.4"/>
    <n v="9250"/>
    <n v="3700"/>
  </r>
  <r>
    <x v="1"/>
    <s v="Stuart -Target"/>
    <x v="1"/>
    <x v="19"/>
    <d v="2022-09-04T00:00:00"/>
    <x v="1"/>
    <x v="1"/>
    <n v="0.45"/>
    <n v="9250"/>
    <n v="4162.5"/>
  </r>
  <r>
    <x v="1"/>
    <s v="Stuart -Target"/>
    <x v="1"/>
    <x v="19"/>
    <d v="2022-09-04T00:00:00"/>
    <x v="1"/>
    <x v="2"/>
    <n v="0.4"/>
    <n v="11000"/>
    <n v="4400"/>
  </r>
  <r>
    <x v="1"/>
    <s v="Stuart -Target"/>
    <x v="1"/>
    <x v="19"/>
    <d v="2022-09-04T00:00:00"/>
    <x v="1"/>
    <x v="3"/>
    <n v="0.4"/>
    <n v="6500"/>
    <n v="2600"/>
  </r>
  <r>
    <x v="1"/>
    <s v="Stuart -Target"/>
    <x v="1"/>
    <x v="19"/>
    <d v="2022-09-04T00:00:00"/>
    <x v="1"/>
    <x v="4"/>
    <n v="0.45"/>
    <n v="6500"/>
    <n v="2925"/>
  </r>
  <r>
    <x v="1"/>
    <s v="Stuart -Target"/>
    <x v="1"/>
    <x v="19"/>
    <d v="2022-09-04T00:00:00"/>
    <x v="1"/>
    <x v="5"/>
    <n v="0.5"/>
    <n v="9000"/>
    <n v="4500"/>
  </r>
  <r>
    <x v="1"/>
    <s v="Stuart -Target"/>
    <x v="1"/>
    <x v="20"/>
    <d v="2022-10-02T00:00:00"/>
    <x v="1"/>
    <x v="0"/>
    <n v="0.45"/>
    <n v="8500"/>
    <n v="3825"/>
  </r>
  <r>
    <x v="1"/>
    <s v="Stuart -Target"/>
    <x v="1"/>
    <x v="20"/>
    <d v="2022-10-02T00:00:00"/>
    <x v="1"/>
    <x v="1"/>
    <n v="0.45"/>
    <n v="8500"/>
    <n v="3825"/>
  </r>
  <r>
    <x v="1"/>
    <s v="Stuart -Target"/>
    <x v="1"/>
    <x v="20"/>
    <d v="2022-10-02T00:00:00"/>
    <x v="1"/>
    <x v="2"/>
    <n v="0.5"/>
    <n v="9000"/>
    <n v="4500"/>
  </r>
  <r>
    <x v="1"/>
    <s v="Stuart -Target"/>
    <x v="1"/>
    <x v="20"/>
    <d v="2022-10-02T00:00:00"/>
    <x v="1"/>
    <x v="3"/>
    <n v="0.5"/>
    <n v="6250"/>
    <n v="3125"/>
  </r>
  <r>
    <x v="1"/>
    <s v="Stuart -Target"/>
    <x v="1"/>
    <x v="20"/>
    <d v="2022-10-02T00:00:00"/>
    <x v="1"/>
    <x v="4"/>
    <n v="0.45"/>
    <n v="6250"/>
    <n v="2812.5"/>
  </r>
  <r>
    <x v="1"/>
    <s v="Stuart -Target"/>
    <x v="1"/>
    <x v="20"/>
    <d v="2022-10-02T00:00:00"/>
    <x v="1"/>
    <x v="5"/>
    <n v="0.55000000000000004"/>
    <n v="8500"/>
    <n v="4675"/>
  </r>
  <r>
    <x v="1"/>
    <s v="Stuart -Target"/>
    <x v="1"/>
    <x v="21"/>
    <d v="2022-10-31T00:00:00"/>
    <x v="1"/>
    <x v="0"/>
    <n v="0.45"/>
    <n v="8000"/>
    <n v="3600"/>
  </r>
  <r>
    <x v="1"/>
    <s v="Stuart -Target"/>
    <x v="1"/>
    <x v="21"/>
    <d v="2022-10-31T00:00:00"/>
    <x v="1"/>
    <x v="1"/>
    <n v="0.45"/>
    <n v="8000"/>
    <n v="3600"/>
  </r>
  <r>
    <x v="1"/>
    <s v="Stuart -Target"/>
    <x v="1"/>
    <x v="21"/>
    <d v="2022-10-31T00:00:00"/>
    <x v="1"/>
    <x v="2"/>
    <n v="0.5"/>
    <n v="7500"/>
    <n v="3750"/>
  </r>
  <r>
    <x v="1"/>
    <s v="Stuart -Target"/>
    <x v="1"/>
    <x v="21"/>
    <d v="2022-10-31T00:00:00"/>
    <x v="1"/>
    <x v="3"/>
    <n v="0.5"/>
    <n v="6000"/>
    <n v="3000"/>
  </r>
  <r>
    <x v="1"/>
    <s v="Stuart -Target"/>
    <x v="1"/>
    <x v="21"/>
    <d v="2022-10-31T00:00:00"/>
    <x v="1"/>
    <x v="4"/>
    <n v="0.45"/>
    <n v="5750"/>
    <n v="2587.5"/>
  </r>
  <r>
    <x v="1"/>
    <s v="Stuart -Target"/>
    <x v="1"/>
    <x v="21"/>
    <d v="2022-10-31T00:00:00"/>
    <x v="1"/>
    <x v="5"/>
    <n v="0.55000000000000004"/>
    <n v="7500"/>
    <n v="4125"/>
  </r>
  <r>
    <x v="1"/>
    <s v="Stuart -Target"/>
    <x v="1"/>
    <x v="22"/>
    <d v="2022-12-02T00:00:00"/>
    <x v="1"/>
    <x v="0"/>
    <n v="0.45"/>
    <n v="9000"/>
    <n v="4050"/>
  </r>
  <r>
    <x v="1"/>
    <s v="Stuart -Target"/>
    <x v="1"/>
    <x v="22"/>
    <d v="2022-12-02T00:00:00"/>
    <x v="1"/>
    <x v="1"/>
    <n v="0.45"/>
    <n v="9000"/>
    <n v="4050"/>
  </r>
  <r>
    <x v="1"/>
    <s v="Stuart -Target"/>
    <x v="1"/>
    <x v="22"/>
    <d v="2022-12-02T00:00:00"/>
    <x v="1"/>
    <x v="2"/>
    <n v="0.5"/>
    <n v="8250"/>
    <n v="4125"/>
  </r>
  <r>
    <x v="1"/>
    <s v="Stuart -Target"/>
    <x v="1"/>
    <x v="22"/>
    <d v="2022-12-02T00:00:00"/>
    <x v="1"/>
    <x v="3"/>
    <n v="0.5"/>
    <n v="6750"/>
    <n v="3375"/>
  </r>
  <r>
    <x v="1"/>
    <s v="Stuart -Target"/>
    <x v="1"/>
    <x v="22"/>
    <d v="2022-12-02T00:00:00"/>
    <x v="1"/>
    <x v="4"/>
    <n v="0.45"/>
    <n v="6500"/>
    <n v="2925"/>
  </r>
  <r>
    <x v="1"/>
    <s v="Stuart -Target"/>
    <x v="1"/>
    <x v="22"/>
    <d v="2022-12-02T00:00:00"/>
    <x v="1"/>
    <x v="5"/>
    <n v="0.55000000000000004"/>
    <n v="8500"/>
    <n v="4675"/>
  </r>
  <r>
    <x v="1"/>
    <s v="Stuart -Target"/>
    <x v="1"/>
    <x v="23"/>
    <d v="2022-12-31T00:00:00"/>
    <x v="1"/>
    <x v="0"/>
    <n v="0.45"/>
    <n v="9500"/>
    <n v="4275"/>
  </r>
  <r>
    <x v="1"/>
    <s v="Stuart -Target"/>
    <x v="1"/>
    <x v="23"/>
    <d v="2022-12-31T00:00:00"/>
    <x v="1"/>
    <x v="1"/>
    <n v="0.45"/>
    <n v="9500"/>
    <n v="4275"/>
  </r>
  <r>
    <x v="1"/>
    <s v="Stuart -Target"/>
    <x v="1"/>
    <x v="23"/>
    <d v="2022-12-31T00:00:00"/>
    <x v="1"/>
    <x v="2"/>
    <n v="0.5"/>
    <n v="8500"/>
    <n v="4250"/>
  </r>
  <r>
    <x v="1"/>
    <s v="Stuart -Target"/>
    <x v="1"/>
    <x v="23"/>
    <d v="2022-12-31T00:00:00"/>
    <x v="1"/>
    <x v="3"/>
    <n v="0.5"/>
    <n v="7000"/>
    <n v="3500"/>
  </r>
  <r>
    <x v="1"/>
    <s v="Stuart -Target"/>
    <x v="1"/>
    <x v="23"/>
    <d v="2022-12-31T00:00:00"/>
    <x v="1"/>
    <x v="4"/>
    <n v="0.45"/>
    <n v="6500"/>
    <n v="2925"/>
  </r>
  <r>
    <x v="1"/>
    <s v="Stuart -Target"/>
    <x v="1"/>
    <x v="23"/>
    <d v="2022-12-31T00:00:00"/>
    <x v="1"/>
    <x v="5"/>
    <n v="0.55000000000000004"/>
    <n v="9000"/>
    <n v="4950"/>
  </r>
  <r>
    <x v="2"/>
    <s v="Maria -Walgreens"/>
    <x v="2"/>
    <x v="24"/>
    <d v="2022-02-19T00:00:00"/>
    <x v="0"/>
    <x v="0"/>
    <n v="0.35"/>
    <n v="7000"/>
    <n v="2450"/>
  </r>
  <r>
    <x v="2"/>
    <s v="Maria -Walgreens"/>
    <x v="2"/>
    <x v="24"/>
    <d v="2022-02-14T00:00:00"/>
    <x v="0"/>
    <x v="1"/>
    <n v="0.45"/>
    <n v="7000"/>
    <n v="3150"/>
  </r>
  <r>
    <x v="2"/>
    <s v="Maria -Walgreens"/>
    <x v="2"/>
    <x v="24"/>
    <d v="2022-02-14T00:00:00"/>
    <x v="0"/>
    <x v="2"/>
    <n v="0.45"/>
    <n v="7000"/>
    <n v="3150"/>
  </r>
  <r>
    <x v="2"/>
    <s v="Maria -Walgreens"/>
    <x v="2"/>
    <x v="24"/>
    <d v="2022-02-14T00:00:00"/>
    <x v="0"/>
    <x v="3"/>
    <n v="0.45"/>
    <n v="5500"/>
    <n v="2475"/>
  </r>
  <r>
    <x v="2"/>
    <s v="Maria -Walgreens"/>
    <x v="2"/>
    <x v="24"/>
    <d v="2022-02-14T00:00:00"/>
    <x v="0"/>
    <x v="4"/>
    <n v="0.5"/>
    <n v="5000"/>
    <n v="2500"/>
  </r>
  <r>
    <x v="2"/>
    <s v="Maria -Walgreens"/>
    <x v="2"/>
    <x v="24"/>
    <d v="2022-02-14T00:00:00"/>
    <x v="0"/>
    <x v="5"/>
    <n v="0.45"/>
    <n v="7000"/>
    <n v="3150"/>
  </r>
  <r>
    <x v="2"/>
    <s v="Maria -Walgreens"/>
    <x v="2"/>
    <x v="25"/>
    <d v="2022-03-17T00:00:00"/>
    <x v="0"/>
    <x v="0"/>
    <n v="0.35"/>
    <n v="7500"/>
    <n v="2625"/>
  </r>
  <r>
    <x v="2"/>
    <s v="Maria -Walgreens"/>
    <x v="2"/>
    <x v="25"/>
    <d v="2022-03-17T00:00:00"/>
    <x v="0"/>
    <x v="1"/>
    <n v="0.45"/>
    <n v="6500"/>
    <n v="2925"/>
  </r>
  <r>
    <x v="2"/>
    <s v="Maria -Walgreens"/>
    <x v="2"/>
    <x v="25"/>
    <d v="2022-03-17T00:00:00"/>
    <x v="0"/>
    <x v="2"/>
    <n v="0.45"/>
    <n v="6750"/>
    <n v="3037.5"/>
  </r>
  <r>
    <x v="2"/>
    <s v="Maria -Walgreens"/>
    <x v="2"/>
    <x v="25"/>
    <d v="2022-03-17T00:00:00"/>
    <x v="0"/>
    <x v="3"/>
    <n v="0.45"/>
    <n v="5250"/>
    <n v="2362.5"/>
  </r>
  <r>
    <x v="2"/>
    <s v="Maria -Walgreens"/>
    <x v="2"/>
    <x v="25"/>
    <d v="2022-03-22T00:00:00"/>
    <x v="0"/>
    <x v="4"/>
    <n v="0.5"/>
    <n v="4500"/>
    <n v="2250"/>
  </r>
  <r>
    <x v="2"/>
    <s v="Maria -Walgreens"/>
    <x v="2"/>
    <x v="25"/>
    <d v="2022-03-25T00:00:00"/>
    <x v="0"/>
    <x v="5"/>
    <n v="0.45"/>
    <n v="6500"/>
    <n v="2925"/>
  </r>
  <r>
    <x v="2"/>
    <s v="Maria -Walgreens"/>
    <x v="2"/>
    <x v="26"/>
    <d v="2022-04-13T00:00:00"/>
    <x v="0"/>
    <x v="0"/>
    <n v="0.35"/>
    <n v="8000"/>
    <n v="2800"/>
  </r>
  <r>
    <x v="2"/>
    <s v="Maria -Walgreens"/>
    <x v="2"/>
    <x v="26"/>
    <d v="2022-04-13T00:00:00"/>
    <x v="0"/>
    <x v="1"/>
    <n v="0.45"/>
    <n v="6500"/>
    <n v="2925"/>
  </r>
  <r>
    <x v="2"/>
    <s v="Maria -Walgreens"/>
    <x v="2"/>
    <x v="26"/>
    <d v="2022-04-13T00:00:00"/>
    <x v="0"/>
    <x v="2"/>
    <n v="0.45"/>
    <n v="6500"/>
    <n v="2925"/>
  </r>
  <r>
    <x v="2"/>
    <s v="Maria -Walgreens"/>
    <x v="2"/>
    <x v="26"/>
    <d v="2022-04-13T00:00:00"/>
    <x v="0"/>
    <x v="3"/>
    <n v="0.45"/>
    <n v="5500"/>
    <n v="2475"/>
  </r>
  <r>
    <x v="2"/>
    <s v="Maria -Walgreens"/>
    <x v="2"/>
    <x v="26"/>
    <d v="2022-04-13T00:00:00"/>
    <x v="0"/>
    <x v="4"/>
    <n v="0.5"/>
    <n v="4250"/>
    <n v="2125"/>
  </r>
  <r>
    <x v="2"/>
    <s v="Maria -Walgreens"/>
    <x v="2"/>
    <x v="26"/>
    <d v="2022-04-13T00:00:00"/>
    <x v="0"/>
    <x v="5"/>
    <n v="0.45"/>
    <n v="6250"/>
    <n v="2812.5"/>
  </r>
  <r>
    <x v="2"/>
    <s v="Maria -Walgreens"/>
    <x v="2"/>
    <x v="27"/>
    <d v="2022-05-15T00:00:00"/>
    <x v="0"/>
    <x v="0"/>
    <n v="0.45"/>
    <n v="8000"/>
    <n v="3600"/>
  </r>
  <r>
    <x v="2"/>
    <s v="Maria -Walgreens"/>
    <x v="2"/>
    <x v="27"/>
    <d v="2022-05-15T00:00:00"/>
    <x v="0"/>
    <x v="1"/>
    <n v="0.5"/>
    <n v="6000"/>
    <n v="3000"/>
  </r>
  <r>
    <x v="2"/>
    <s v="Maria -Walgreens"/>
    <x v="2"/>
    <x v="27"/>
    <d v="2022-05-15T00:00:00"/>
    <x v="0"/>
    <x v="2"/>
    <n v="0.5"/>
    <n v="6250"/>
    <n v="3125"/>
  </r>
  <r>
    <x v="2"/>
    <s v="Maria -Walgreens"/>
    <x v="2"/>
    <x v="27"/>
    <d v="2022-05-15T00:00:00"/>
    <x v="0"/>
    <x v="3"/>
    <n v="0.45"/>
    <n v="5250"/>
    <n v="2362.5"/>
  </r>
  <r>
    <x v="2"/>
    <s v="Maria -Walgreens"/>
    <x v="2"/>
    <x v="27"/>
    <d v="2022-05-15T00:00:00"/>
    <x v="0"/>
    <x v="4"/>
    <n v="0.5"/>
    <n v="4250"/>
    <n v="2125"/>
  </r>
  <r>
    <x v="2"/>
    <s v="Maria -Walgreens"/>
    <x v="2"/>
    <x v="27"/>
    <d v="2022-05-15T00:00:00"/>
    <x v="0"/>
    <x v="5"/>
    <n v="0.65"/>
    <n v="6000"/>
    <n v="3900"/>
  </r>
  <r>
    <x v="2"/>
    <s v="Maria -Walgreens"/>
    <x v="2"/>
    <x v="28"/>
    <d v="2022-06-15T00:00:00"/>
    <x v="0"/>
    <x v="0"/>
    <n v="0.45"/>
    <n v="8000"/>
    <n v="3600"/>
  </r>
  <r>
    <x v="2"/>
    <s v="Maria -Walgreens"/>
    <x v="2"/>
    <x v="28"/>
    <d v="2022-06-15T00:00:00"/>
    <x v="0"/>
    <x v="1"/>
    <n v="0.5"/>
    <n v="6500"/>
    <n v="3250"/>
  </r>
  <r>
    <x v="2"/>
    <s v="Maria -Walgreens"/>
    <x v="2"/>
    <x v="28"/>
    <d v="2022-06-15T00:00:00"/>
    <x v="0"/>
    <x v="2"/>
    <n v="0.5"/>
    <n v="6500"/>
    <n v="3250"/>
  </r>
  <r>
    <x v="2"/>
    <s v="Maria -Walgreens"/>
    <x v="2"/>
    <x v="28"/>
    <d v="2022-06-15T00:00:00"/>
    <x v="0"/>
    <x v="3"/>
    <n v="0.45"/>
    <n v="5500"/>
    <n v="2475"/>
  </r>
  <r>
    <x v="2"/>
    <s v="Maria -Walgreens"/>
    <x v="2"/>
    <x v="28"/>
    <d v="2022-06-15T00:00:00"/>
    <x v="0"/>
    <x v="4"/>
    <n v="0.5"/>
    <n v="4500"/>
    <n v="2250"/>
  </r>
  <r>
    <x v="2"/>
    <s v="Maria -Walgreens"/>
    <x v="2"/>
    <x v="28"/>
    <d v="2022-06-15T00:00:00"/>
    <x v="0"/>
    <x v="5"/>
    <n v="0.65"/>
    <n v="6250"/>
    <n v="4062.5"/>
  </r>
  <r>
    <x v="2"/>
    <s v="Maria -Walgreens"/>
    <x v="2"/>
    <x v="29"/>
    <d v="2022-07-15T00:00:00"/>
    <x v="0"/>
    <x v="0"/>
    <n v="0.45"/>
    <n v="9000"/>
    <n v="4050"/>
  </r>
  <r>
    <x v="2"/>
    <s v="Maria -Walgreens"/>
    <x v="2"/>
    <x v="29"/>
    <d v="2022-07-15T00:00:00"/>
    <x v="0"/>
    <x v="1"/>
    <n v="0.5"/>
    <n v="7500"/>
    <n v="3750"/>
  </r>
  <r>
    <x v="2"/>
    <s v="Maria -Walgreens"/>
    <x v="2"/>
    <x v="29"/>
    <d v="2022-07-15T00:00:00"/>
    <x v="0"/>
    <x v="2"/>
    <n v="0.5"/>
    <n v="7500"/>
    <n v="3750"/>
  </r>
  <r>
    <x v="2"/>
    <s v="Maria -Walgreens"/>
    <x v="2"/>
    <x v="29"/>
    <d v="2022-07-15T00:00:00"/>
    <x v="0"/>
    <x v="3"/>
    <n v="0.45"/>
    <n v="6250"/>
    <n v="2812.5"/>
  </r>
  <r>
    <x v="2"/>
    <s v="Maria -Walgreens"/>
    <x v="2"/>
    <x v="29"/>
    <d v="2022-07-15T00:00:00"/>
    <x v="0"/>
    <x v="4"/>
    <n v="0.5"/>
    <n v="5000"/>
    <n v="2500"/>
  </r>
  <r>
    <x v="2"/>
    <s v="Maria -Walgreens"/>
    <x v="2"/>
    <x v="29"/>
    <d v="2022-07-15T00:00:00"/>
    <x v="0"/>
    <x v="5"/>
    <n v="0.65"/>
    <n v="8000"/>
    <n v="5200"/>
  </r>
  <r>
    <x v="2"/>
    <s v="Maria -Walgreens"/>
    <x v="2"/>
    <x v="30"/>
    <d v="2022-08-13T00:00:00"/>
    <x v="0"/>
    <x v="0"/>
    <n v="0.45"/>
    <n v="9500"/>
    <n v="4275"/>
  </r>
  <r>
    <x v="2"/>
    <s v="Maria -Walgreens"/>
    <x v="2"/>
    <x v="30"/>
    <d v="2022-08-13T00:00:00"/>
    <x v="0"/>
    <x v="1"/>
    <n v="0.5"/>
    <n v="8000"/>
    <n v="4000"/>
  </r>
  <r>
    <x v="2"/>
    <s v="Maria -Walgreens"/>
    <x v="2"/>
    <x v="30"/>
    <d v="2022-08-13T00:00:00"/>
    <x v="0"/>
    <x v="2"/>
    <n v="0.5"/>
    <n v="7500"/>
    <n v="3750"/>
  </r>
  <r>
    <x v="2"/>
    <s v="Maria -Walgreens"/>
    <x v="2"/>
    <x v="30"/>
    <d v="2022-08-13T00:00:00"/>
    <x v="0"/>
    <x v="3"/>
    <n v="0.45"/>
    <n v="6500"/>
    <n v="2925"/>
  </r>
  <r>
    <x v="2"/>
    <s v="Maria -Walgreens"/>
    <x v="2"/>
    <x v="30"/>
    <d v="2022-08-13T00:00:00"/>
    <x v="0"/>
    <x v="4"/>
    <n v="0.5"/>
    <n v="7000"/>
    <n v="3500"/>
  </r>
  <r>
    <x v="2"/>
    <s v="Maria -Walgreens"/>
    <x v="2"/>
    <x v="30"/>
    <d v="2022-08-13T00:00:00"/>
    <x v="0"/>
    <x v="5"/>
    <n v="0.65"/>
    <n v="7000"/>
    <n v="4550"/>
  </r>
  <r>
    <x v="2"/>
    <s v="Maria -Walgreens"/>
    <x v="2"/>
    <x v="31"/>
    <d v="2022-09-14T00:00:00"/>
    <x v="0"/>
    <x v="0"/>
    <n v="0.5"/>
    <n v="9000"/>
    <n v="4500"/>
  </r>
  <r>
    <x v="2"/>
    <s v="Maria -Walgreens"/>
    <x v="2"/>
    <x v="31"/>
    <d v="2022-09-14T00:00:00"/>
    <x v="0"/>
    <x v="1"/>
    <n v="0.55000000000000004"/>
    <n v="8500"/>
    <n v="4675"/>
  </r>
  <r>
    <x v="2"/>
    <s v="Maria -Walgreens"/>
    <x v="2"/>
    <x v="31"/>
    <d v="2022-09-14T00:00:00"/>
    <x v="0"/>
    <x v="2"/>
    <n v="0.5"/>
    <n v="7250"/>
    <n v="3625"/>
  </r>
  <r>
    <x v="2"/>
    <s v="Maria -Walgreens"/>
    <x v="2"/>
    <x v="31"/>
    <d v="2022-09-14T00:00:00"/>
    <x v="0"/>
    <x v="3"/>
    <n v="0.5"/>
    <n v="6750"/>
    <n v="3375"/>
  </r>
  <r>
    <x v="2"/>
    <s v="Maria -Walgreens"/>
    <x v="2"/>
    <x v="31"/>
    <d v="2022-09-14T00:00:00"/>
    <x v="0"/>
    <x v="4"/>
    <n v="0.6"/>
    <n v="6750"/>
    <n v="4050"/>
  </r>
  <r>
    <x v="2"/>
    <s v="Maria -Walgreens"/>
    <x v="2"/>
    <x v="31"/>
    <d v="2022-09-14T00:00:00"/>
    <x v="0"/>
    <x v="5"/>
    <n v="0.65"/>
    <n v="6500"/>
    <n v="4225"/>
  </r>
  <r>
    <x v="2"/>
    <s v="Maria -Walgreens"/>
    <x v="2"/>
    <x v="32"/>
    <d v="2022-10-16T00:00:00"/>
    <x v="0"/>
    <x v="0"/>
    <n v="0.5"/>
    <n v="8500"/>
    <n v="4250"/>
  </r>
  <r>
    <x v="2"/>
    <s v="Maria -Walgreens"/>
    <x v="2"/>
    <x v="32"/>
    <d v="2022-10-16T00:00:00"/>
    <x v="0"/>
    <x v="1"/>
    <n v="0.55000000000000004"/>
    <n v="8500"/>
    <n v="4675"/>
  </r>
  <r>
    <x v="2"/>
    <s v="Maria -Walgreens"/>
    <x v="2"/>
    <x v="32"/>
    <d v="2022-10-16T00:00:00"/>
    <x v="0"/>
    <x v="2"/>
    <n v="0.5"/>
    <n v="7000"/>
    <n v="3500"/>
  </r>
  <r>
    <x v="2"/>
    <s v="Maria -Walgreens"/>
    <x v="2"/>
    <x v="32"/>
    <d v="2022-10-16T00:00:00"/>
    <x v="0"/>
    <x v="3"/>
    <n v="0.5"/>
    <n v="6500"/>
    <n v="3250"/>
  </r>
  <r>
    <x v="2"/>
    <s v="Maria -Walgreens"/>
    <x v="2"/>
    <x v="32"/>
    <d v="2022-10-16T00:00:00"/>
    <x v="0"/>
    <x v="4"/>
    <n v="0.6"/>
    <n v="6500"/>
    <n v="3900"/>
  </r>
  <r>
    <x v="2"/>
    <s v="Maria -Walgreens"/>
    <x v="2"/>
    <x v="32"/>
    <d v="2022-10-16T00:00:00"/>
    <x v="0"/>
    <x v="5"/>
    <n v="0.65"/>
    <n v="7000"/>
    <n v="4550"/>
  </r>
  <r>
    <x v="2"/>
    <s v="Maria -Walgreens"/>
    <x v="2"/>
    <x v="33"/>
    <d v="2022-11-14T00:00:00"/>
    <x v="0"/>
    <x v="0"/>
    <n v="0.5"/>
    <n v="8000"/>
    <n v="4000"/>
  </r>
  <r>
    <x v="2"/>
    <s v="Maria -Walgreens"/>
    <x v="2"/>
    <x v="33"/>
    <d v="2022-11-14T00:00:00"/>
    <x v="0"/>
    <x v="1"/>
    <n v="0.55000000000000004"/>
    <n v="8000"/>
    <n v="4400"/>
  </r>
  <r>
    <x v="2"/>
    <s v="Maria -Walgreens"/>
    <x v="2"/>
    <x v="33"/>
    <d v="2022-11-14T00:00:00"/>
    <x v="0"/>
    <x v="2"/>
    <n v="0.5"/>
    <n v="6500"/>
    <n v="3250"/>
  </r>
  <r>
    <x v="2"/>
    <s v="Maria -Walgreens"/>
    <x v="2"/>
    <x v="33"/>
    <d v="2022-11-14T00:00:00"/>
    <x v="0"/>
    <x v="3"/>
    <n v="0.5"/>
    <n v="6250"/>
    <n v="3125"/>
  </r>
  <r>
    <x v="2"/>
    <s v="Maria -Walgreens"/>
    <x v="2"/>
    <x v="33"/>
    <d v="2022-11-14T00:00:00"/>
    <x v="0"/>
    <x v="4"/>
    <n v="0.6"/>
    <n v="6000"/>
    <n v="3600"/>
  </r>
  <r>
    <x v="2"/>
    <s v="Maria -Walgreens"/>
    <x v="2"/>
    <x v="33"/>
    <d v="2022-11-14T00:00:00"/>
    <x v="0"/>
    <x v="5"/>
    <n v="0.65"/>
    <n v="6500"/>
    <n v="4225"/>
  </r>
  <r>
    <x v="2"/>
    <s v="Maria -Walgreens"/>
    <x v="2"/>
    <x v="34"/>
    <d v="2022-12-15T00:00:00"/>
    <x v="0"/>
    <x v="0"/>
    <n v="0.5"/>
    <n v="8250"/>
    <n v="4125"/>
  </r>
  <r>
    <x v="2"/>
    <s v="Maria -Walgreens"/>
    <x v="2"/>
    <x v="34"/>
    <d v="2022-12-15T00:00:00"/>
    <x v="0"/>
    <x v="1"/>
    <n v="0.55000000000000004"/>
    <n v="8250"/>
    <n v="4537.5"/>
  </r>
  <r>
    <x v="2"/>
    <s v="Maria -Walgreens"/>
    <x v="2"/>
    <x v="34"/>
    <d v="2022-12-15T00:00:00"/>
    <x v="0"/>
    <x v="2"/>
    <n v="0.5"/>
    <n v="6750"/>
    <n v="3375"/>
  </r>
  <r>
    <x v="2"/>
    <s v="Maria -Walgreens"/>
    <x v="2"/>
    <x v="34"/>
    <d v="2022-12-15T00:00:00"/>
    <x v="0"/>
    <x v="3"/>
    <n v="0.5"/>
    <n v="6500"/>
    <n v="3250"/>
  </r>
  <r>
    <x v="2"/>
    <s v="Maria -Walgreens"/>
    <x v="2"/>
    <x v="34"/>
    <d v="2022-12-15T00:00:00"/>
    <x v="0"/>
    <x v="4"/>
    <n v="0.6"/>
    <n v="6000"/>
    <n v="3600"/>
  </r>
  <r>
    <x v="2"/>
    <s v="Maria -Walgreens"/>
    <x v="2"/>
    <x v="34"/>
    <d v="2022-12-15T00:00:00"/>
    <x v="0"/>
    <x v="5"/>
    <n v="0.65"/>
    <n v="7000"/>
    <n v="4550"/>
  </r>
  <r>
    <x v="2"/>
    <s v="Maria -Walgreens"/>
    <x v="2"/>
    <x v="35"/>
    <d v="2023-01-13T00:00:00"/>
    <x v="0"/>
    <x v="0"/>
    <n v="0.5"/>
    <n v="9000"/>
    <n v="4500"/>
  </r>
  <r>
    <x v="2"/>
    <s v="Maria -Walgreens"/>
    <x v="2"/>
    <x v="35"/>
    <d v="2023-01-13T00:00:00"/>
    <x v="0"/>
    <x v="1"/>
    <n v="0.55000000000000004"/>
    <n v="9000"/>
    <n v="4950"/>
  </r>
  <r>
    <x v="2"/>
    <s v="Maria -Walgreens"/>
    <x v="2"/>
    <x v="35"/>
    <d v="2023-01-13T00:00:00"/>
    <x v="0"/>
    <x v="2"/>
    <n v="0.5"/>
    <n v="7000"/>
    <n v="3500"/>
  </r>
  <r>
    <x v="2"/>
    <s v="Maria -Walgreens"/>
    <x v="2"/>
    <x v="35"/>
    <d v="2023-01-13T00:00:00"/>
    <x v="0"/>
    <x v="3"/>
    <n v="0.5"/>
    <n v="7000"/>
    <n v="3500"/>
  </r>
  <r>
    <x v="2"/>
    <s v="Maria -Walgreens"/>
    <x v="2"/>
    <x v="35"/>
    <d v="2023-01-13T00:00:00"/>
    <x v="0"/>
    <x v="4"/>
    <n v="0.6"/>
    <n v="6250"/>
    <n v="3750"/>
  </r>
  <r>
    <x v="2"/>
    <s v="Maria -Walgreens"/>
    <x v="2"/>
    <x v="35"/>
    <d v="2023-01-13T00:00:00"/>
    <x v="0"/>
    <x v="5"/>
    <n v="0.65"/>
    <n v="7250"/>
    <n v="4712.5"/>
  </r>
  <r>
    <x v="3"/>
    <s v="Allen -Walmart"/>
    <x v="3"/>
    <x v="36"/>
    <d v="2022-02-13T00:00:00"/>
    <x v="2"/>
    <x v="0"/>
    <n v="0.5"/>
    <n v="12000"/>
    <n v="6000"/>
  </r>
  <r>
    <x v="3"/>
    <s v="Allen -Walmart"/>
    <x v="3"/>
    <x v="36"/>
    <d v="2022-02-13T00:00:00"/>
    <x v="2"/>
    <x v="1"/>
    <n v="0.5"/>
    <n v="10000"/>
    <n v="5000"/>
  </r>
  <r>
    <x v="3"/>
    <s v="Allen -Walmart"/>
    <x v="3"/>
    <x v="36"/>
    <d v="2022-02-13T00:00:00"/>
    <x v="2"/>
    <x v="2"/>
    <n v="0.4"/>
    <n v="10000"/>
    <n v="4000"/>
  </r>
  <r>
    <x v="3"/>
    <s v="Allen -Walmart"/>
    <x v="3"/>
    <x v="36"/>
    <d v="2022-02-13T00:00:00"/>
    <x v="2"/>
    <x v="3"/>
    <n v="0.45"/>
    <n v="8500"/>
    <n v="3825"/>
  </r>
  <r>
    <x v="3"/>
    <s v="Allen -Walmart"/>
    <x v="3"/>
    <x v="36"/>
    <d v="2022-02-13T00:00:00"/>
    <x v="2"/>
    <x v="4"/>
    <n v="0.6"/>
    <n v="9000"/>
    <n v="5400"/>
  </r>
  <r>
    <x v="3"/>
    <s v="Allen -Walmart"/>
    <x v="3"/>
    <x v="36"/>
    <d v="2022-02-28T00:00:00"/>
    <x v="2"/>
    <x v="5"/>
    <n v="0.5"/>
    <n v="10000"/>
    <n v="5000"/>
  </r>
  <r>
    <x v="3"/>
    <s v="Allen -Walmart"/>
    <x v="3"/>
    <x v="37"/>
    <d v="2022-03-14T00:00:00"/>
    <x v="2"/>
    <x v="0"/>
    <n v="0.5"/>
    <n v="12500"/>
    <n v="6250"/>
  </r>
  <r>
    <x v="3"/>
    <s v="Allen -Walmart"/>
    <x v="3"/>
    <x v="37"/>
    <d v="2022-03-14T00:00:00"/>
    <x v="2"/>
    <x v="1"/>
    <n v="0.5"/>
    <n v="9000"/>
    <n v="4500"/>
  </r>
  <r>
    <x v="3"/>
    <s v="Allen -Walmart"/>
    <x v="3"/>
    <x v="37"/>
    <d v="2022-03-14T00:00:00"/>
    <x v="2"/>
    <x v="2"/>
    <n v="0.4"/>
    <n v="9500"/>
    <n v="3800"/>
  </r>
  <r>
    <x v="3"/>
    <s v="Allen -Walmart"/>
    <x v="3"/>
    <x v="37"/>
    <d v="2022-03-14T00:00:00"/>
    <x v="2"/>
    <x v="3"/>
    <n v="0.45"/>
    <n v="8250"/>
    <n v="3712.5"/>
  </r>
  <r>
    <x v="3"/>
    <s v="Allen -Walmart"/>
    <x v="3"/>
    <x v="37"/>
    <d v="2022-03-29T00:00:00"/>
    <x v="2"/>
    <x v="4"/>
    <n v="0.6"/>
    <n v="9000"/>
    <n v="5400"/>
  </r>
  <r>
    <x v="3"/>
    <s v="Allen -Walmart"/>
    <x v="3"/>
    <x v="37"/>
    <d v="2022-03-14T00:00:00"/>
    <x v="2"/>
    <x v="5"/>
    <n v="0.5"/>
    <n v="10000"/>
    <n v="5000"/>
  </r>
  <r>
    <x v="3"/>
    <s v="Allen -Walmart"/>
    <x v="3"/>
    <x v="38"/>
    <d v="2022-04-09T00:00:00"/>
    <x v="2"/>
    <x v="0"/>
    <n v="0.5"/>
    <n v="12200"/>
    <n v="6100"/>
  </r>
  <r>
    <x v="3"/>
    <s v="Allen -Walmart"/>
    <x v="3"/>
    <x v="38"/>
    <d v="2022-04-09T00:00:00"/>
    <x v="2"/>
    <x v="1"/>
    <n v="0.5"/>
    <n v="9250"/>
    <n v="4625"/>
  </r>
  <r>
    <x v="3"/>
    <s v="Allen -Walmart"/>
    <x v="3"/>
    <x v="38"/>
    <d v="2022-04-24T00:00:00"/>
    <x v="2"/>
    <x v="2"/>
    <n v="0.4"/>
    <n v="9500"/>
    <n v="3800"/>
  </r>
  <r>
    <x v="3"/>
    <s v="Allen -Walmart"/>
    <x v="3"/>
    <x v="38"/>
    <d v="2022-04-09T00:00:00"/>
    <x v="2"/>
    <x v="3"/>
    <n v="0.45"/>
    <n v="8000"/>
    <n v="3600"/>
  </r>
  <r>
    <x v="3"/>
    <s v="Allen -Walmart"/>
    <x v="3"/>
    <x v="38"/>
    <d v="2022-04-09T00:00:00"/>
    <x v="2"/>
    <x v="4"/>
    <n v="0.6"/>
    <n v="8500"/>
    <n v="5100"/>
  </r>
  <r>
    <x v="3"/>
    <s v="Allen -Walmart"/>
    <x v="3"/>
    <x v="38"/>
    <d v="2022-04-09T00:00:00"/>
    <x v="2"/>
    <x v="5"/>
    <n v="0.5"/>
    <n v="9500"/>
    <n v="4750"/>
  </r>
  <r>
    <x v="3"/>
    <s v="Allen -Walmart"/>
    <x v="3"/>
    <x v="39"/>
    <d v="2022-05-11T00:00:00"/>
    <x v="2"/>
    <x v="0"/>
    <n v="0.5"/>
    <n v="12000"/>
    <n v="6000"/>
  </r>
  <r>
    <x v="3"/>
    <s v="Allen -Walmart"/>
    <x v="3"/>
    <x v="39"/>
    <d v="2022-05-11T00:00:00"/>
    <x v="2"/>
    <x v="1"/>
    <n v="0.5"/>
    <n v="9000"/>
    <n v="4500"/>
  </r>
  <r>
    <x v="3"/>
    <s v="Allen -Walmart"/>
    <x v="3"/>
    <x v="39"/>
    <d v="2022-05-11T00:00:00"/>
    <x v="2"/>
    <x v="2"/>
    <n v="0.4"/>
    <n v="9000"/>
    <n v="3600"/>
  </r>
  <r>
    <x v="3"/>
    <s v="Allen -Walmart"/>
    <x v="3"/>
    <x v="39"/>
    <d v="2022-05-11T00:00:00"/>
    <x v="2"/>
    <x v="3"/>
    <n v="0.45"/>
    <n v="8250"/>
    <n v="3712.5"/>
  </r>
  <r>
    <x v="3"/>
    <s v="Allen -Walmart"/>
    <x v="3"/>
    <x v="39"/>
    <d v="2022-05-11T00:00:00"/>
    <x v="2"/>
    <x v="4"/>
    <n v="0.6"/>
    <n v="8250"/>
    <n v="4950"/>
  </r>
  <r>
    <x v="3"/>
    <s v="Allen -Walmart"/>
    <x v="3"/>
    <x v="39"/>
    <d v="2022-05-11T00:00:00"/>
    <x v="2"/>
    <x v="5"/>
    <n v="0.5"/>
    <n v="9500"/>
    <n v="4750"/>
  </r>
  <r>
    <x v="3"/>
    <s v="Allen -Walmart"/>
    <x v="3"/>
    <x v="40"/>
    <d v="2022-06-09T00:00:00"/>
    <x v="2"/>
    <x v="0"/>
    <n v="0.6"/>
    <n v="12200"/>
    <n v="7320"/>
  </r>
  <r>
    <x v="3"/>
    <s v="Allen -Walmart"/>
    <x v="3"/>
    <x v="40"/>
    <d v="2022-06-09T00:00:00"/>
    <x v="2"/>
    <x v="1"/>
    <n v="0.55000000000000004"/>
    <n v="9250"/>
    <n v="5087.5"/>
  </r>
  <r>
    <x v="3"/>
    <s v="Allen -Walmart"/>
    <x v="3"/>
    <x v="40"/>
    <d v="2022-06-09T00:00:00"/>
    <x v="2"/>
    <x v="2"/>
    <n v="0.5"/>
    <n v="9000"/>
    <n v="4500"/>
  </r>
  <r>
    <x v="3"/>
    <s v="Allen -Walmart"/>
    <x v="3"/>
    <x v="40"/>
    <d v="2022-06-09T00:00:00"/>
    <x v="2"/>
    <x v="3"/>
    <n v="0.5"/>
    <n v="8500"/>
    <n v="4250"/>
  </r>
  <r>
    <x v="3"/>
    <s v="Allen -Walmart"/>
    <x v="3"/>
    <x v="40"/>
    <d v="2022-06-09T00:00:00"/>
    <x v="2"/>
    <x v="4"/>
    <n v="0.6"/>
    <n v="8750"/>
    <n v="5250"/>
  </r>
  <r>
    <x v="3"/>
    <s v="Allen -Walmart"/>
    <x v="3"/>
    <x v="40"/>
    <d v="2022-06-09T00:00:00"/>
    <x v="2"/>
    <x v="5"/>
    <n v="0.65"/>
    <n v="10000"/>
    <n v="6500"/>
  </r>
  <r>
    <x v="3"/>
    <s v="Allen -Walmart"/>
    <x v="3"/>
    <x v="41"/>
    <d v="2022-07-12T00:00:00"/>
    <x v="2"/>
    <x v="0"/>
    <n v="0.6"/>
    <n v="12500"/>
    <n v="7500"/>
  </r>
  <r>
    <x v="3"/>
    <s v="Allen -Walmart"/>
    <x v="3"/>
    <x v="41"/>
    <d v="2022-07-12T00:00:00"/>
    <x v="2"/>
    <x v="1"/>
    <n v="0.55000000000000004"/>
    <n v="10000"/>
    <n v="5500"/>
  </r>
  <r>
    <x v="3"/>
    <s v="Allen -Walmart"/>
    <x v="3"/>
    <x v="41"/>
    <d v="2022-07-12T00:00:00"/>
    <x v="2"/>
    <x v="2"/>
    <n v="0.5"/>
    <n v="9250"/>
    <n v="4625"/>
  </r>
  <r>
    <x v="3"/>
    <s v="Allen -Walmart"/>
    <x v="3"/>
    <x v="41"/>
    <d v="2022-07-12T00:00:00"/>
    <x v="2"/>
    <x v="3"/>
    <n v="0.5"/>
    <n v="9000"/>
    <n v="4500"/>
  </r>
  <r>
    <x v="3"/>
    <s v="Allen -Walmart"/>
    <x v="3"/>
    <x v="41"/>
    <d v="2022-07-12T00:00:00"/>
    <x v="2"/>
    <x v="4"/>
    <n v="0.6"/>
    <n v="9000"/>
    <n v="5400"/>
  </r>
  <r>
    <x v="3"/>
    <s v="Allen -Walmart"/>
    <x v="3"/>
    <x v="41"/>
    <d v="2022-07-12T00:00:00"/>
    <x v="2"/>
    <x v="5"/>
    <n v="0.65"/>
    <n v="10500"/>
    <n v="6825"/>
  </r>
  <r>
    <x v="3"/>
    <s v="Allen -Walmart"/>
    <x v="3"/>
    <x v="42"/>
    <d v="2022-08-09T00:00:00"/>
    <x v="2"/>
    <x v="0"/>
    <n v="0.6"/>
    <n v="12750"/>
    <n v="7650"/>
  </r>
  <r>
    <x v="3"/>
    <s v="Allen -Walmart"/>
    <x v="3"/>
    <x v="42"/>
    <d v="2022-08-09T00:00:00"/>
    <x v="2"/>
    <x v="1"/>
    <n v="0.55000000000000004"/>
    <n v="10250"/>
    <n v="5637.5000000000009"/>
  </r>
  <r>
    <x v="3"/>
    <s v="Allen -Walmart"/>
    <x v="3"/>
    <x v="42"/>
    <d v="2022-08-09T00:00:00"/>
    <x v="2"/>
    <x v="2"/>
    <n v="0.5"/>
    <n v="9500"/>
    <n v="4750"/>
  </r>
  <r>
    <x v="3"/>
    <s v="Allen -Walmart"/>
    <x v="3"/>
    <x v="42"/>
    <d v="2022-08-09T00:00:00"/>
    <x v="2"/>
    <x v="3"/>
    <n v="0.5"/>
    <n v="9000"/>
    <n v="4500"/>
  </r>
  <r>
    <x v="3"/>
    <s v="Allen -Walmart"/>
    <x v="3"/>
    <x v="42"/>
    <d v="2022-08-09T00:00:00"/>
    <x v="2"/>
    <x v="4"/>
    <n v="0.6"/>
    <n v="9250"/>
    <n v="5550"/>
  </r>
  <r>
    <x v="3"/>
    <s v="Allen -Walmart"/>
    <x v="3"/>
    <x v="42"/>
    <d v="2022-08-09T00:00:00"/>
    <x v="2"/>
    <x v="5"/>
    <n v="0.65"/>
    <n v="11000"/>
    <n v="7150"/>
  </r>
  <r>
    <x v="3"/>
    <s v="Allen -Walmart"/>
    <x v="3"/>
    <x v="43"/>
    <d v="2022-09-10T00:00:00"/>
    <x v="2"/>
    <x v="0"/>
    <n v="0.6"/>
    <n v="12500"/>
    <n v="7500"/>
  </r>
  <r>
    <x v="3"/>
    <s v="Allen -Walmart"/>
    <x v="3"/>
    <x v="43"/>
    <d v="2022-09-10T00:00:00"/>
    <x v="2"/>
    <x v="1"/>
    <n v="0.55000000000000004"/>
    <n v="10250"/>
    <n v="5637.5000000000009"/>
  </r>
  <r>
    <x v="3"/>
    <s v="Allen -Walmart"/>
    <x v="3"/>
    <x v="43"/>
    <d v="2022-09-10T00:00:00"/>
    <x v="2"/>
    <x v="2"/>
    <n v="0.5"/>
    <n v="9500"/>
    <n v="4750"/>
  </r>
  <r>
    <x v="3"/>
    <s v="Allen -Walmart"/>
    <x v="3"/>
    <x v="43"/>
    <d v="2022-09-10T00:00:00"/>
    <x v="2"/>
    <x v="3"/>
    <n v="0.5"/>
    <n v="9250"/>
    <n v="4625"/>
  </r>
  <r>
    <x v="3"/>
    <s v="Allen -Walmart"/>
    <x v="3"/>
    <x v="43"/>
    <d v="2022-09-10T00:00:00"/>
    <x v="2"/>
    <x v="4"/>
    <n v="0.6"/>
    <n v="9000"/>
    <n v="5400"/>
  </r>
  <r>
    <x v="3"/>
    <s v="Allen -Walmart"/>
    <x v="3"/>
    <x v="43"/>
    <d v="2022-09-10T00:00:00"/>
    <x v="2"/>
    <x v="5"/>
    <n v="0.65"/>
    <n v="10750"/>
    <n v="6987.5"/>
  </r>
  <r>
    <x v="3"/>
    <s v="Allen -Walmart"/>
    <x v="3"/>
    <x v="44"/>
    <d v="2022-10-10T00:00:00"/>
    <x v="2"/>
    <x v="0"/>
    <n v="0.6"/>
    <n v="12000"/>
    <n v="7200"/>
  </r>
  <r>
    <x v="3"/>
    <s v="Allen -Walmart"/>
    <x v="3"/>
    <x v="44"/>
    <d v="2022-10-10T00:00:00"/>
    <x v="2"/>
    <x v="1"/>
    <n v="0.55000000000000004"/>
    <n v="10000"/>
    <n v="5500"/>
  </r>
  <r>
    <x v="3"/>
    <s v="Allen -Walmart"/>
    <x v="3"/>
    <x v="44"/>
    <d v="2022-10-10T00:00:00"/>
    <x v="2"/>
    <x v="2"/>
    <n v="0.5"/>
    <n v="9250"/>
    <n v="4625"/>
  </r>
  <r>
    <x v="3"/>
    <s v="Allen -Walmart"/>
    <x v="3"/>
    <x v="44"/>
    <d v="2022-10-10T00:00:00"/>
    <x v="2"/>
    <x v="3"/>
    <n v="0.5"/>
    <n v="9000"/>
    <n v="4500"/>
  </r>
  <r>
    <x v="3"/>
    <s v="Allen -Walmart"/>
    <x v="3"/>
    <x v="44"/>
    <d v="2022-10-10T00:00:00"/>
    <x v="2"/>
    <x v="4"/>
    <n v="0.6"/>
    <n v="9000"/>
    <n v="5400"/>
  </r>
  <r>
    <x v="3"/>
    <s v="Allen -Walmart"/>
    <x v="3"/>
    <x v="44"/>
    <d v="2022-10-10T00:00:00"/>
    <x v="2"/>
    <x v="5"/>
    <n v="0.65"/>
    <n v="10000"/>
    <n v="6500"/>
  </r>
  <r>
    <x v="3"/>
    <s v="Allen -Walmart"/>
    <x v="3"/>
    <x v="45"/>
    <d v="2022-11-11T00:00:00"/>
    <x v="2"/>
    <x v="0"/>
    <n v="0.65"/>
    <n v="11750"/>
    <n v="7637.5"/>
  </r>
  <r>
    <x v="3"/>
    <s v="Allen -Walmart"/>
    <x v="3"/>
    <x v="45"/>
    <d v="2022-11-11T00:00:00"/>
    <x v="2"/>
    <x v="1"/>
    <n v="0.55000000000000004"/>
    <n v="10000"/>
    <n v="5500"/>
  </r>
  <r>
    <x v="3"/>
    <s v="Allen -Walmart"/>
    <x v="3"/>
    <x v="45"/>
    <d v="2022-11-11T00:00:00"/>
    <x v="2"/>
    <x v="2"/>
    <n v="0.55000000000000004"/>
    <n v="9000"/>
    <n v="4950"/>
  </r>
  <r>
    <x v="3"/>
    <s v="Allen -Walmart"/>
    <x v="3"/>
    <x v="45"/>
    <d v="2022-11-11T00:00:00"/>
    <x v="2"/>
    <x v="3"/>
    <n v="0.55000000000000004"/>
    <n v="8750"/>
    <n v="4812.5"/>
  </r>
  <r>
    <x v="3"/>
    <s v="Allen -Walmart"/>
    <x v="3"/>
    <x v="45"/>
    <d v="2022-11-11T00:00:00"/>
    <x v="2"/>
    <x v="4"/>
    <n v="0.65"/>
    <n v="8750"/>
    <n v="5687.5"/>
  </r>
  <r>
    <x v="3"/>
    <s v="Allen -Walmart"/>
    <x v="3"/>
    <x v="45"/>
    <d v="2022-11-11T00:00:00"/>
    <x v="2"/>
    <x v="5"/>
    <n v="0.7"/>
    <n v="10000"/>
    <n v="7000"/>
  </r>
  <r>
    <x v="3"/>
    <s v="Allen -Walmart"/>
    <x v="3"/>
    <x v="46"/>
    <d v="2022-12-11T00:00:00"/>
    <x v="2"/>
    <x v="0"/>
    <n v="0.65"/>
    <n v="11500"/>
    <n v="7475"/>
  </r>
  <r>
    <x v="3"/>
    <s v="Allen -Walmart"/>
    <x v="3"/>
    <x v="46"/>
    <d v="2022-12-11T00:00:00"/>
    <x v="2"/>
    <x v="1"/>
    <n v="0.55000000000000004"/>
    <n v="9750"/>
    <n v="5362.5"/>
  </r>
  <r>
    <x v="3"/>
    <s v="Allen -Walmart"/>
    <x v="3"/>
    <x v="46"/>
    <d v="2022-12-11T00:00:00"/>
    <x v="2"/>
    <x v="2"/>
    <n v="0.55000000000000004"/>
    <n v="9200"/>
    <n v="5060"/>
  </r>
  <r>
    <x v="3"/>
    <s v="Allen -Walmart"/>
    <x v="3"/>
    <x v="46"/>
    <d v="2022-12-11T00:00:00"/>
    <x v="2"/>
    <x v="3"/>
    <n v="0.55000000000000004"/>
    <n v="9000"/>
    <n v="4950"/>
  </r>
  <r>
    <x v="3"/>
    <s v="Allen -Walmart"/>
    <x v="3"/>
    <x v="46"/>
    <d v="2022-12-11T00:00:00"/>
    <x v="2"/>
    <x v="4"/>
    <n v="0.65"/>
    <n v="8750"/>
    <n v="5687.5"/>
  </r>
  <r>
    <x v="3"/>
    <s v="Allen -Walmart"/>
    <x v="3"/>
    <x v="46"/>
    <d v="2022-12-11T00:00:00"/>
    <x v="2"/>
    <x v="5"/>
    <n v="0.7"/>
    <n v="9750"/>
    <n v="6825"/>
  </r>
  <r>
    <x v="3"/>
    <s v="Allen -Walmart"/>
    <x v="3"/>
    <x v="47"/>
    <d v="2023-01-09T00:00:00"/>
    <x v="2"/>
    <x v="0"/>
    <n v="0.65"/>
    <n v="12000"/>
    <n v="7800"/>
  </r>
  <r>
    <x v="3"/>
    <s v="Allen -Walmart"/>
    <x v="3"/>
    <x v="47"/>
    <d v="2023-01-09T00:00:00"/>
    <x v="2"/>
    <x v="1"/>
    <n v="0.55000000000000004"/>
    <n v="10000"/>
    <n v="5500"/>
  </r>
  <r>
    <x v="3"/>
    <s v="Allen -Walmart"/>
    <x v="3"/>
    <x v="47"/>
    <d v="2023-01-09T00:00:00"/>
    <x v="2"/>
    <x v="2"/>
    <n v="0.55000000000000004"/>
    <n v="9500"/>
    <n v="5225"/>
  </r>
  <r>
    <x v="3"/>
    <s v="Allen -Walmart"/>
    <x v="3"/>
    <x v="47"/>
    <d v="2023-01-09T00:00:00"/>
    <x v="2"/>
    <x v="3"/>
    <n v="0.55000000000000004"/>
    <n v="9000"/>
    <n v="4950"/>
  </r>
  <r>
    <x v="3"/>
    <s v="Allen -Walmart"/>
    <x v="3"/>
    <x v="47"/>
    <d v="2023-01-09T00:00:00"/>
    <x v="2"/>
    <x v="4"/>
    <n v="0.65"/>
    <n v="9000"/>
    <n v="5850"/>
  </r>
  <r>
    <x v="3"/>
    <s v="Allen -Walmart"/>
    <x v="3"/>
    <x v="47"/>
    <d v="2023-01-09T00:00:00"/>
    <x v="2"/>
    <x v="5"/>
    <n v="0.7"/>
    <n v="10000"/>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5D0D18-732C-45D6-B103-4237808625ED}" name="percent"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20">
  <location ref="A35:D40" firstHeaderRow="0" firstDataRow="1" firstDataCol="1"/>
  <pivotFields count="12">
    <pivotField compact="0" outline="0" showAll="0" insertBlankRow="1" defaultSubtotal="0">
      <items count="4">
        <item x="0"/>
        <item x="1"/>
        <item x="2"/>
        <item x="3"/>
      </items>
    </pivotField>
    <pivotField compact="0" outline="0" showAll="0" insertBlankRow="1" defaultSubtotal="0"/>
    <pivotField axis="axisRow" compact="0" outline="0" showAll="0" insertBlankRow="1" defaultSubtotal="0">
      <items count="4">
        <item x="0"/>
        <item x="3"/>
        <item x="2"/>
        <item x="1"/>
      </items>
    </pivotField>
    <pivotField compact="0" numFmtId="14" outline="0" showAll="0" insertBlankRow="1" defaultSubtotal="0">
      <items count="48">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s>
    </pivotField>
    <pivotField compact="0" numFmtId="14" outline="0" showAll="0" insertBlankRow="1" defaultSubtotal="0"/>
    <pivotField compact="0" outline="0" showAll="0" insertBlankRow="1" defaultSubtotal="0">
      <items count="3">
        <item x="2"/>
        <item x="1"/>
        <item x="0"/>
      </items>
    </pivotField>
    <pivotField compact="0" outline="0" showAll="0" insertBlankRow="1" defaultSubtotal="0">
      <items count="6">
        <item x="0"/>
        <item x="5"/>
        <item x="1"/>
        <item x="3"/>
        <item x="4"/>
        <item x="2"/>
      </items>
    </pivotField>
    <pivotField compact="0" outline="0" showAll="0" insertBlankRow="1" defaultSubtotal="0"/>
    <pivotField dataField="1" compact="0" outline="0" showAll="0" insertBlankRow="1" defaultSubtotal="0"/>
    <pivotField dataField="1" compact="0" outline="0" showAll="0" insertBlankRow="1" defaultSubtotal="0"/>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insertBlankRow="1"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3">
    <i>
      <x/>
    </i>
    <i i="1">
      <x v="1"/>
    </i>
    <i i="2">
      <x v="2"/>
    </i>
  </colItems>
  <dataFields count="3">
    <dataField name="Sum of Revenue2" fld="9" baseField="0" baseItem="0" numFmtId="164"/>
    <dataField name="Sum of Revenue" fld="9" showDataAs="percentOfTotal" baseField="2" baseItem="0" numFmtId="10"/>
    <dataField name="Sum of Units Sold" fld="8" baseField="0" baseItem="0" numFmtId="3"/>
  </dataFields>
  <formats count="8">
    <format dxfId="13">
      <pivotArea type="all" dataOnly="0" outline="0" fieldPosition="0"/>
    </format>
    <format dxfId="12">
      <pivotArea outline="0" collapsedLevelsAreSubtotals="1" fieldPosition="0"/>
    </format>
    <format dxfId="11">
      <pivotArea field="5" type="button" dataOnly="0" labelOnly="1" outline="0"/>
    </format>
    <format dxfId="10">
      <pivotArea dataOnly="0" labelOnly="1" grandRow="1" outline="0" fieldPosition="0"/>
    </format>
    <format dxfId="9">
      <pivotArea dataOnly="0" labelOnly="1" outline="0" axis="axisValues" fieldPosition="0"/>
    </format>
    <format dxfId="8">
      <pivotArea outline="0" fieldPosition="0">
        <references count="1">
          <reference field="4294967294" count="1">
            <x v="1"/>
          </reference>
        </references>
      </pivotArea>
    </format>
    <format dxfId="7">
      <pivotArea outline="0" fieldPosition="0">
        <references count="1">
          <reference field="4294967294" count="1" selected="0">
            <x v="0"/>
          </reference>
        </references>
      </pivotArea>
    </format>
    <format dxfId="6">
      <pivotArea outline="0" fieldPosition="0">
        <references count="1">
          <reference field="4294967294" count="1" selected="0">
            <x v="2"/>
          </reference>
        </references>
      </pivotArea>
    </format>
  </formats>
  <chartFormats count="1">
    <chartFormat chart="1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D0529-4E9F-4B03-9B73-1788410CCDDC}" name="Region Brand"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0">
  <location ref="A25:H30" firstHeaderRow="1" firstDataRow="2" firstDataCol="1"/>
  <pivotFields count="12">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numFmtId="14" outline="0" showAll="0" insertBlankRow="1" defaultSubtotal="0">
      <items count="48">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s>
    </pivotField>
    <pivotField compact="0" numFmtId="14" outline="0" showAll="0" insertBlankRow="1" defaultSubtotal="0"/>
    <pivotField axis="axisRow" compact="0" outline="0" showAll="0" insertBlankRow="1" defaultSubtotal="0">
      <items count="3">
        <item x="2"/>
        <item x="1"/>
        <item x="0"/>
      </items>
    </pivotField>
    <pivotField axis="axisCol" compact="0" outline="0" showAll="0" insertBlankRow="1" defaultSubtotal="0">
      <items count="6">
        <item x="0"/>
        <item x="5"/>
        <item x="1"/>
        <item x="3"/>
        <item x="4"/>
        <item x="2"/>
      </items>
    </pivotField>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insertBlankRow="1" defaultSubtotal="0">
      <items count="14">
        <item x="0"/>
        <item x="1"/>
        <item x="2"/>
        <item x="3"/>
        <item x="4"/>
        <item x="5"/>
        <item x="6"/>
        <item x="7"/>
        <item x="8"/>
        <item x="9"/>
        <item x="10"/>
        <item x="11"/>
        <item x="12"/>
        <item x="13"/>
      </items>
    </pivotField>
  </pivotFields>
  <rowFields count="1">
    <field x="5"/>
  </rowFields>
  <rowItems count="4">
    <i>
      <x/>
    </i>
    <i>
      <x v="1"/>
    </i>
    <i>
      <x v="2"/>
    </i>
    <i t="grand">
      <x/>
    </i>
  </rowItems>
  <colFields count="1">
    <field x="6"/>
  </colFields>
  <colItems count="7">
    <i>
      <x/>
    </i>
    <i>
      <x v="1"/>
    </i>
    <i>
      <x v="2"/>
    </i>
    <i>
      <x v="3"/>
    </i>
    <i>
      <x v="4"/>
    </i>
    <i>
      <x v="5"/>
    </i>
    <i t="grand">
      <x/>
    </i>
  </colItems>
  <dataFields count="1">
    <dataField name="Sum of Revenue" fld="9" baseField="5" baseItem="0" numFmtId="164"/>
  </dataFields>
  <formats count="10">
    <format dxfId="23">
      <pivotArea type="all" dataOnly="0" outline="0" fieldPosition="0"/>
    </format>
    <format dxfId="22">
      <pivotArea outline="0" collapsedLevelsAreSubtotals="1" fieldPosition="0"/>
    </format>
    <format dxfId="21">
      <pivotArea type="origin" dataOnly="0" labelOnly="1" outline="0" fieldPosition="0"/>
    </format>
    <format dxfId="20">
      <pivotArea field="6" type="button" dataOnly="0" labelOnly="1" outline="0" axis="axisCol" fieldPosition="0"/>
    </format>
    <format dxfId="19">
      <pivotArea type="topRight" dataOnly="0" labelOnly="1" outline="0" fieldPosition="0"/>
    </format>
    <format dxfId="18">
      <pivotArea field="5" type="button" dataOnly="0" labelOnly="1" outline="0" axis="axisRow" fieldPosition="0"/>
    </format>
    <format dxfId="17">
      <pivotArea dataOnly="0" labelOnly="1" outline="0" fieldPosition="0">
        <references count="1">
          <reference field="5" count="0"/>
        </references>
      </pivotArea>
    </format>
    <format dxfId="16">
      <pivotArea dataOnly="0" labelOnly="1" grandRow="1" outline="0" fieldPosition="0"/>
    </format>
    <format dxfId="15">
      <pivotArea dataOnly="0" labelOnly="1" outline="0" fieldPosition="0">
        <references count="1">
          <reference field="6" count="0"/>
        </references>
      </pivotArea>
    </format>
    <format dxfId="14">
      <pivotArea dataOnly="0" labelOnly="1" grandCol="1" outline="0" fieldPosition="0"/>
    </format>
  </formats>
  <chartFormats count="7">
    <chartFormat chart="6" format="13" series="1">
      <pivotArea type="data" outline="0" fieldPosition="0">
        <references count="2">
          <reference field="4294967294" count="1" selected="0">
            <x v="0"/>
          </reference>
          <reference field="6" count="1" selected="0">
            <x v="0"/>
          </reference>
        </references>
      </pivotArea>
    </chartFormat>
    <chartFormat chart="6" format="14" series="1">
      <pivotArea type="data" outline="0" fieldPosition="0">
        <references count="2">
          <reference field="4294967294" count="1" selected="0">
            <x v="0"/>
          </reference>
          <reference field="6" count="1" selected="0">
            <x v="1"/>
          </reference>
        </references>
      </pivotArea>
    </chartFormat>
    <chartFormat chart="6" format="15" series="1">
      <pivotArea type="data" outline="0" fieldPosition="0">
        <references count="2">
          <reference field="4294967294" count="1" selected="0">
            <x v="0"/>
          </reference>
          <reference field="6" count="1" selected="0">
            <x v="2"/>
          </reference>
        </references>
      </pivotArea>
    </chartFormat>
    <chartFormat chart="6" format="16" series="1">
      <pivotArea type="data" outline="0" fieldPosition="0">
        <references count="2">
          <reference field="4294967294" count="1" selected="0">
            <x v="0"/>
          </reference>
          <reference field="6" count="1" selected="0">
            <x v="3"/>
          </reference>
        </references>
      </pivotArea>
    </chartFormat>
    <chartFormat chart="6" format="17" series="1">
      <pivotArea type="data" outline="0" fieldPosition="0">
        <references count="2">
          <reference field="4294967294" count="1" selected="0">
            <x v="0"/>
          </reference>
          <reference field="6" count="1" selected="0">
            <x v="4"/>
          </reference>
        </references>
      </pivotArea>
    </chartFormat>
    <chartFormat chart="6" format="18" series="1">
      <pivotArea type="data" outline="0" fieldPosition="0">
        <references count="2">
          <reference field="4294967294" count="1" selected="0">
            <x v="0"/>
          </reference>
          <reference field="6" count="1" selected="0">
            <x v="5"/>
          </reference>
        </references>
      </pivotArea>
    </chartFormat>
    <chartFormat chart="6"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4D4DF-E603-466F-BDCC-B42BFDD6C412}" name="Region"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20">
  <location ref="A14:B18" firstHeaderRow="1" firstDataRow="1" firstDataCol="1"/>
  <pivotFields count="12">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numFmtId="14" outline="0" showAll="0" insertBlankRow="1" defaultSubtotal="0">
      <items count="48">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s>
    </pivotField>
    <pivotField compact="0" numFmtId="14" outline="0" showAll="0" insertBlankRow="1" defaultSubtotal="0"/>
    <pivotField axis="axisRow" compact="0" outline="0" showAll="0" insertBlankRow="1" defaultSubtotal="0">
      <items count="3">
        <item x="2"/>
        <item x="1"/>
        <item x="0"/>
      </items>
    </pivotField>
    <pivotField compact="0" outline="0" showAll="0" insertBlankRow="1" defaultSubtotal="0">
      <items count="6">
        <item x="0"/>
        <item x="5"/>
        <item x="1"/>
        <item x="3"/>
        <item x="4"/>
        <item x="2"/>
      </items>
    </pivotField>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insertBlankRow="1"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Revenue" fld="9" baseField="5" baseItem="1" numFmtId="164"/>
  </dataFields>
  <formats count="6">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outline="0" fieldPosition="0">
        <references count="1">
          <reference field="5" count="0"/>
        </references>
      </pivotArea>
    </format>
    <format dxfId="25">
      <pivotArea dataOnly="0" labelOnly="1" grandRow="1" outline="0" fieldPosition="0"/>
    </format>
    <format dxfId="24">
      <pivotArea dataOnly="0" labelOnly="1" outline="0" axis="axisValues" fieldPosition="0"/>
    </format>
  </formats>
  <chartFormats count="4">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5" count="1" selected="0">
            <x v="0"/>
          </reference>
        </references>
      </pivotArea>
    </chartFormat>
    <chartFormat chart="16" format="10">
      <pivotArea type="data" outline="0" fieldPosition="0">
        <references count="2">
          <reference field="4294967294" count="1" selected="0">
            <x v="0"/>
          </reference>
          <reference field="5" count="1" selected="0">
            <x v="1"/>
          </reference>
        </references>
      </pivotArea>
    </chartFormat>
    <chartFormat chart="1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A81B96-540C-42B5-B0DF-E5CE33F6275C}" name="Brand sold"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0">
  <location ref="D14:E21" firstHeaderRow="1" firstDataRow="1" firstDataCol="1"/>
  <pivotFields count="12">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numFmtId="14" outline="0" showAll="0" insertBlankRow="1" defaultSubtotal="0">
      <items count="48">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s>
    </pivotField>
    <pivotField compact="0" numFmtId="14" outline="0" showAll="0" insertBlankRow="1" defaultSubtotal="0"/>
    <pivotField compact="0" outline="0" showAll="0" insertBlankRow="1" defaultSubtotal="0">
      <items count="3">
        <item x="2"/>
        <item x="1"/>
        <item x="0"/>
      </items>
    </pivotField>
    <pivotField axis="axisRow" compact="0" outline="0" showAll="0" insertBlankRow="1" defaultSubtotal="0">
      <items count="6">
        <item x="0"/>
        <item x="5"/>
        <item x="1"/>
        <item x="3"/>
        <item x="4"/>
        <item x="2"/>
      </items>
    </pivotField>
    <pivotField compact="0" outline="0" showAll="0" insertBlankRow="1" defaultSubtotal="0"/>
    <pivotField dataField="1" compact="0" outline="0" showAll="0" insertBlankRow="1" defaultSubtotal="0"/>
    <pivotField compact="0" outline="0" showAll="0" insertBlankRow="1" defaultSubtotal="0"/>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insertBlankRow="1"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Units Sold" fld="8" baseField="0" baseItem="0" numFmtId="3"/>
  </dataFields>
  <formats count="7">
    <format dxfId="36">
      <pivotArea type="all" dataOnly="0" outline="0" fieldPosition="0"/>
    </format>
    <format dxfId="35">
      <pivotArea outline="0" collapsedLevelsAreSubtotals="1" fieldPosition="0"/>
    </format>
    <format dxfId="34">
      <pivotArea field="6" type="button" dataOnly="0" labelOnly="1" outline="0" axis="axisRow" fieldPosition="0"/>
    </format>
    <format dxfId="33">
      <pivotArea dataOnly="0" labelOnly="1" outline="0" fieldPosition="0">
        <references count="1">
          <reference field="6" count="0"/>
        </references>
      </pivotArea>
    </format>
    <format dxfId="32">
      <pivotArea dataOnly="0" labelOnly="1" grandRow="1" outline="0" fieldPosition="0"/>
    </format>
    <format dxfId="31">
      <pivotArea dataOnly="0" labelOnly="1" outline="0" axis="axisValues" fieldPosition="0"/>
    </format>
    <format dxfId="30">
      <pivotArea outline="0" collapsedLevelsAreSubtotals="1" fieldPosition="0"/>
    </format>
  </format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5" format="12">
      <pivotArea type="data" outline="0" fieldPosition="0">
        <references count="2">
          <reference field="4294967294" count="1" selected="0">
            <x v="0"/>
          </reference>
          <reference field="6" count="1" selected="0">
            <x v="3"/>
          </reference>
        </references>
      </pivotArea>
    </chartFormat>
    <chartFormat chart="5" format="13">
      <pivotArea type="data" outline="0" fieldPosition="0">
        <references count="2">
          <reference field="4294967294" count="1" selected="0">
            <x v="0"/>
          </reference>
          <reference field="6" count="1" selected="0">
            <x v="4"/>
          </reference>
        </references>
      </pivotArea>
    </chartFormat>
    <chartFormat chart="5"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F98EE3-9576-438B-9BFB-2884FFF2C777}" name="Brand"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5">
  <location ref="A3:B10" firstHeaderRow="1" firstDataRow="1" firstDataCol="1"/>
  <pivotFields count="12">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numFmtId="14" outline="0" showAll="0" insertBlankRow="1" defaultSubtotal="0">
      <items count="48">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s>
    </pivotField>
    <pivotField compact="0" numFmtId="14" outline="0" showAll="0" insertBlankRow="1" defaultSubtotal="0"/>
    <pivotField compact="0" outline="0" showAll="0" insertBlankRow="1" defaultSubtotal="0">
      <items count="3">
        <item x="2"/>
        <item x="1"/>
        <item x="0"/>
      </items>
    </pivotField>
    <pivotField axis="axisRow" compact="0" outline="0" showAll="0" insertBlankRow="1" defaultSubtotal="0">
      <items count="6">
        <item x="0"/>
        <item x="5"/>
        <item x="1"/>
        <item x="3"/>
        <item x="4"/>
        <item x="2"/>
      </items>
    </pivotField>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insertBlankRow="1"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Revenue" fld="9" baseField="6" baseItem="2" numFmtId="164"/>
  </dataFields>
  <formats count="6">
    <format dxfId="42">
      <pivotArea type="all" dataOnly="0" outline="0" fieldPosition="0"/>
    </format>
    <format dxfId="41">
      <pivotArea outline="0" collapsedLevelsAreSubtotals="1" fieldPosition="0"/>
    </format>
    <format dxfId="40">
      <pivotArea field="6" type="button" dataOnly="0" labelOnly="1" outline="0" axis="axisRow" fieldPosition="0"/>
    </format>
    <format dxfId="39">
      <pivotArea dataOnly="0" labelOnly="1" outline="0" fieldPosition="0">
        <references count="1">
          <reference field="6" count="0"/>
        </references>
      </pivotArea>
    </format>
    <format dxfId="38">
      <pivotArea dataOnly="0" labelOnly="1" grandRow="1" outline="0" fieldPosition="0"/>
    </format>
    <format dxfId="37">
      <pivotArea dataOnly="0" labelOnly="1" outline="0" axis="axisValues" fieldPosition="0"/>
    </format>
  </formats>
  <chartFormats count="6">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0"/>
          </reference>
        </references>
      </pivotArea>
    </chartFormat>
    <chartFormat chart="11" format="10">
      <pivotArea type="data" outline="0" fieldPosition="0">
        <references count="2">
          <reference field="4294967294" count="1" selected="0">
            <x v="0"/>
          </reference>
          <reference field="6" count="1" selected="0">
            <x v="1"/>
          </reference>
        </references>
      </pivotArea>
    </chartFormat>
    <chartFormat chart="11" format="11">
      <pivotArea type="data" outline="0" fieldPosition="0">
        <references count="2">
          <reference field="4294967294" count="1" selected="0">
            <x v="0"/>
          </reference>
          <reference field="6" count="1" selected="0">
            <x v="2"/>
          </reference>
        </references>
      </pivotArea>
    </chartFormat>
    <chartFormat chart="11" format="12">
      <pivotArea type="data" outline="0" fieldPosition="0">
        <references count="2">
          <reference field="4294967294" count="1" selected="0">
            <x v="0"/>
          </reference>
          <reference field="6" count="1" selected="0">
            <x v="3"/>
          </reference>
        </references>
      </pivotArea>
    </chartFormat>
    <chartFormat chart="11" format="1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E9D09F-D1CE-4C30-A972-7B5973CBBF4C}" name="Date"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4">
  <location ref="G3:H16" firstHeaderRow="1" firstDataRow="1" firstDataCol="1"/>
  <pivotFields count="12">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numFmtId="14" outline="0" showAll="0" insertBlankRow="1" defaultSubtotal="0">
      <items count="48">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s>
    </pivotField>
    <pivotField compact="0" numFmtId="14" outline="0" showAll="0" insertBlankRow="1" defaultSubtotal="0"/>
    <pivotField compact="0" outline="0" showAll="0" insertBlankRow="1" defaultSubtotal="0">
      <items count="3">
        <item x="2"/>
        <item x="1"/>
        <item x="0"/>
      </items>
    </pivotField>
    <pivotField compact="0" outline="0" showAll="0" insertBlankRow="1" defaultSubtotal="0">
      <items count="6">
        <item x="0"/>
        <item x="5"/>
        <item x="1"/>
        <item x="3"/>
        <item x="4"/>
        <item x="2"/>
      </items>
    </pivotField>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name="Months" axis="axisRow" compact="0" outline="0" subtotalTop="0" showAll="0" insertBlankRow="1" defaultSubtotal="0">
      <items count="14">
        <item sd="0" x="0"/>
        <item sd="0" x="1"/>
        <item sd="0" x="2"/>
        <item sd="0" x="3"/>
        <item sd="0" x="4"/>
        <item sd="0" x="5"/>
        <item sd="0" x="6"/>
        <item sd="0" x="7"/>
        <item sd="0" x="8"/>
        <item sd="0" x="9"/>
        <item sd="0" x="10"/>
        <item sd="0" x="11"/>
        <item sd="0" x="12"/>
        <item sd="0" x="13"/>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Revenue" fld="9" baseField="11" baseItem="5" numFmtId="164"/>
  </dataFields>
  <formats count="6">
    <format dxfId="48">
      <pivotArea type="all" dataOnly="0" outline="0" fieldPosition="0"/>
    </format>
    <format dxfId="47">
      <pivotArea outline="0" collapsedLevelsAreSubtotals="1" fieldPosition="0"/>
    </format>
    <format dxfId="46">
      <pivotArea field="11" type="button" dataOnly="0" labelOnly="1" outline="0" axis="axisRow" fieldPosition="0"/>
    </format>
    <format dxfId="45">
      <pivotArea dataOnly="0" labelOnly="1" outline="0" fieldPosition="0">
        <references count="1">
          <reference field="11" count="12">
            <x v="1"/>
            <x v="2"/>
            <x v="3"/>
            <x v="4"/>
            <x v="5"/>
            <x v="6"/>
            <x v="7"/>
            <x v="8"/>
            <x v="9"/>
            <x v="10"/>
            <x v="11"/>
            <x v="12"/>
          </reference>
        </references>
      </pivotArea>
    </format>
    <format dxfId="44">
      <pivotArea dataOnly="0" labelOnly="1" grandRow="1" outline="0" fieldPosition="0"/>
    </format>
    <format dxfId="43">
      <pivotArea dataOnly="0" labelOnly="1" outline="0" axis="axisValues" fieldPosition="0"/>
    </format>
  </formats>
  <chartFormats count="6">
    <chartFormat chart="7" format="24" series="1">
      <pivotArea type="data" outline="0" fieldPosition="0">
        <references count="1">
          <reference field="4294967294" count="1" selected="0">
            <x v="0"/>
          </reference>
        </references>
      </pivotArea>
    </chartFormat>
    <chartFormat chart="7" format="36">
      <pivotArea type="data" outline="0" fieldPosition="0">
        <references count="2">
          <reference field="4294967294" count="1" selected="0">
            <x v="0"/>
          </reference>
          <reference field="11" count="1" selected="0">
            <x v="2"/>
          </reference>
        </references>
      </pivotArea>
    </chartFormat>
    <chartFormat chart="7" format="37">
      <pivotArea type="data" outline="0" fieldPosition="0">
        <references count="2">
          <reference field="4294967294" count="1" selected="0">
            <x v="0"/>
          </reference>
          <reference field="11" count="1" selected="0">
            <x v="4"/>
          </reference>
        </references>
      </pivotArea>
    </chartFormat>
    <chartFormat chart="7" format="38">
      <pivotArea type="data" outline="0" fieldPosition="0">
        <references count="2">
          <reference field="4294967294" count="1" selected="0">
            <x v="0"/>
          </reference>
          <reference field="11" count="1" selected="0">
            <x v="7"/>
          </reference>
        </references>
      </pivotArea>
    </chartFormat>
    <chartFormat chart="7" format="39">
      <pivotArea type="data" outline="0" fieldPosition="0">
        <references count="2">
          <reference field="4294967294" count="1" selected="0">
            <x v="0"/>
          </reference>
          <reference field="11" count="1" selected="0">
            <x v="9"/>
          </reference>
        </references>
      </pivotArea>
    </chartFormat>
    <chartFormat chart="7" format="40">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6B7E75-D8C8-46FE-9B10-5252FDEF6532}" name="Retailer"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7">
  <location ref="D3:E8" firstHeaderRow="1" firstDataRow="1" firstDataCol="1"/>
  <pivotFields count="12">
    <pivotField axis="axisRow"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numFmtId="14" outline="0" showAll="0" insertBlankRow="1" defaultSubtotal="0">
      <items count="48">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s>
    </pivotField>
    <pivotField compact="0" numFmtId="14" outline="0" showAll="0" insertBlankRow="1" defaultSubtotal="0"/>
    <pivotField compact="0" outline="0" showAll="0" insertBlankRow="1" defaultSubtotal="0">
      <items count="3">
        <item x="2"/>
        <item x="1"/>
        <item x="0"/>
      </items>
    </pivotField>
    <pivotField compact="0" outline="0" showAll="0" insertBlankRow="1" defaultSubtotal="0">
      <items count="6">
        <item x="0"/>
        <item x="5"/>
        <item x="1"/>
        <item x="3"/>
        <item x="4"/>
        <item x="2"/>
      </items>
    </pivotField>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insertBlankRow="1" defaultSubtotal="0">
      <items count="14">
        <item x="0"/>
        <item x="1"/>
        <item x="2"/>
        <item x="3"/>
        <item x="4"/>
        <item x="5"/>
        <item x="6"/>
        <item x="7"/>
        <item x="8"/>
        <item x="9"/>
        <item x="10"/>
        <item x="11"/>
        <item x="12"/>
        <item x="13"/>
      </items>
    </pivotField>
  </pivotFields>
  <rowFields count="1">
    <field x="0"/>
  </rowFields>
  <rowItems count="5">
    <i>
      <x/>
    </i>
    <i>
      <x v="1"/>
    </i>
    <i>
      <x v="2"/>
    </i>
    <i>
      <x v="3"/>
    </i>
    <i t="grand">
      <x/>
    </i>
  </rowItems>
  <colItems count="1">
    <i/>
  </colItems>
  <dataFields count="1">
    <dataField name="Sum of Revenue" fld="9" baseField="0" baseItem="1" numFmtId="164"/>
  </dataFields>
  <formats count="8">
    <format dxfId="56">
      <pivotArea outline="0" fieldPosition="0">
        <references count="1">
          <reference field="0" count="1" selected="0">
            <x v="0"/>
          </reference>
        </references>
      </pivotArea>
    </format>
    <format dxfId="55">
      <pivotArea outline="0" fieldPosition="0">
        <references count="1">
          <reference field="4294967294" count="1">
            <x v="0"/>
          </reference>
        </references>
      </pivotArea>
    </format>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outline="0" fieldPosition="0">
        <references count="1">
          <reference field="0" count="0"/>
        </references>
      </pivotArea>
    </format>
    <format dxfId="50">
      <pivotArea dataOnly="0" labelOnly="1" grandRow="1" outline="0" fieldPosition="0"/>
    </format>
    <format dxfId="4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5A6AA7E-AFD6-429D-9A8F-8B26D5C61DDC}" autoFormatId="16" applyNumberFormats="0" applyBorderFormats="0" applyFontFormats="0" applyPatternFormats="0" applyAlignmentFormats="0" applyWidthHeightFormats="0">
  <queryTableRefresh nextId="14" unboundColumnsRight="1">
    <queryTableFields count="10">
      <queryTableField id="1" name="Retailer" tableColumnId="1"/>
      <queryTableField id="2" name="Contact" tableColumnId="2"/>
      <queryTableField id="3" name="Retailer ID" tableColumnId="3"/>
      <queryTableField id="4" name="Order Date" tableColumnId="4"/>
      <queryTableField id="5" name="Payment Date" tableColumnId="5"/>
      <queryTableField id="6" name="Region--State" tableColumnId="6"/>
      <queryTableField id="7" name="Beverage Brand" tableColumnId="7"/>
      <queryTableField id="8" name="Price per Unit" tableColumnId="8"/>
      <queryTableField id="9" name="Units Sold" tableColumnId="9"/>
      <queryTableField id="1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373A45A-3B0C-46B6-9149-DD7AE0367891}" sourceName="Retailer">
  <pivotTables>
    <pivotTable tabId="5" name="Brand"/>
    <pivotTable tabId="5" name="Region"/>
    <pivotTable tabId="5" name="Retailer"/>
    <pivotTable tabId="5" name="Brand sold"/>
    <pivotTable tabId="5" name="Date"/>
    <pivotTable tabId="5" name="Region Brand"/>
    <pivotTable tabId="5" name="percent"/>
  </pivotTables>
  <data>
    <tabular pivotCacheId="165503702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_State" xr10:uid="{01F007DA-7488-4C2C-AC45-73C1980AAAFE}" sourceName="Region--State">
  <pivotTables>
    <pivotTable tabId="5" name="Brand"/>
    <pivotTable tabId="5" name="Region"/>
    <pivotTable tabId="5" name="Retailer"/>
    <pivotTable tabId="5" name="Brand sold"/>
    <pivotTable tabId="5" name="Date"/>
    <pivotTable tabId="5" name="Region Brand"/>
    <pivotTable tabId="5" name="percent"/>
  </pivotTables>
  <data>
    <tabular pivotCacheId="165503702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B908405A-C708-45B2-B73B-4CCB16C2631B}" sourceName="Beverage Brand">
  <pivotTables>
    <pivotTable tabId="5" name="Brand"/>
    <pivotTable tabId="5" name="Region"/>
    <pivotTable tabId="5" name="Retailer"/>
    <pivotTable tabId="5" name="Brand sold"/>
    <pivotTable tabId="5" name="Date"/>
    <pivotTable tabId="5" name="Region Brand"/>
    <pivotTable tabId="5" name="percent"/>
  </pivotTables>
  <data>
    <tabular pivotCacheId="1655037028">
      <items count="6">
        <i x="0" s="1"/>
        <i x="5"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8C2DAC4-5734-4845-827E-78CAA08B07DE}" sourceName="Months (Order Date)">
  <pivotTables>
    <pivotTable tabId="5" name="Brand"/>
    <pivotTable tabId="5" name="Region"/>
    <pivotTable tabId="5" name="Retailer"/>
    <pivotTable tabId="5" name="Brand sold"/>
    <pivotTable tabId="5" name="Date"/>
    <pivotTable tabId="5" name="Region Brand"/>
    <pivotTable tabId="5" name="percent"/>
  </pivotTables>
  <data>
    <tabular pivotCacheId="165503702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AC8CD30C-DEFD-4480-96A3-F704F7E50037}" cache="Slicer_Retailer" caption="Retailer" columnCount="2" rowHeight="251883"/>
  <slicer name="Region--State" xr10:uid="{B011557B-0CCC-441F-8B3F-F546EF6E100F}" cache="Slicer_Region__State" caption="Region--State" rowHeight="274320"/>
  <slicer name="Beverage Brand" xr10:uid="{90BEC0EC-CB8A-410A-8AB3-C02264C26581}" cache="Slicer_Beverage_Brand" caption="Beverage Brand" columnCount="2" style="SlicerStyleLight4" rowHeight="251883"/>
  <slicer name="Months" xr10:uid="{965608BA-0DB1-4652-8BBB-2159C2E5549E}" cache="Slicer_Months__Order_Date" caption="Months" columnCount="4"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16CEE9-1FEE-4542-A6FB-B2848DBE5B16}" name="Append1" displayName="Append1" ref="A1:J290" tableType="queryTable" totalsRowCount="1" headerRowDxfId="69">
  <autoFilter ref="A1:J289" xr:uid="{0716CEE9-1FEE-4542-A6FB-B2848DBE5B16}"/>
  <tableColumns count="10">
    <tableColumn id="1" xr3:uid="{091D37CB-D3FC-4CCD-9AA0-1AB11CBFB84D}" uniqueName="1" name="Retailer" queryTableFieldId="1" dataDxfId="68"/>
    <tableColumn id="2" xr3:uid="{3E5EFAC7-354C-4566-AF44-219C5306E07D}" uniqueName="2" name="Contact" queryTableFieldId="2" dataDxfId="67"/>
    <tableColumn id="3" xr3:uid="{5A1CE72F-8870-4E21-A0A9-CF63541A5B12}" uniqueName="3" name="Retailer ID" queryTableFieldId="3"/>
    <tableColumn id="4" xr3:uid="{A5C38EE7-0487-44D6-8015-773639A95E37}" uniqueName="4" name="Order Date" queryTableFieldId="4" dataDxfId="66" totalsRowDxfId="65"/>
    <tableColumn id="5" xr3:uid="{7F56861E-48C0-496B-AD1E-49C8C640F42C}" uniqueName="5" name="Payment Date" queryTableFieldId="5" dataDxfId="64" totalsRowDxfId="63"/>
    <tableColumn id="6" xr3:uid="{9784E68E-4236-4CD7-B6E8-F702D014E5DC}" uniqueName="6" name="Region--State" queryTableFieldId="6" dataDxfId="62"/>
    <tableColumn id="7" xr3:uid="{8E18600B-5908-42B9-94A6-E30777199651}" uniqueName="7" name="Beverage Brand" queryTableFieldId="7" dataDxfId="61"/>
    <tableColumn id="8" xr3:uid="{F8F959C3-19BA-453B-A482-3F32F6597D12}" uniqueName="8" name="Price per Unit" totalsRowFunction="average" queryTableFieldId="8" dataDxfId="60" totalsRowDxfId="59"/>
    <tableColumn id="9" xr3:uid="{948290F5-7BC2-4800-A5EE-471E2FD12C6C}" uniqueName="9" name="Units Sold" queryTableFieldId="9"/>
    <tableColumn id="10" xr3:uid="{C7B34DEE-FE54-4C32-9882-2426CD4580AC}" uniqueName="10" name="Revenue" queryTableFieldId="11" dataDxfId="58" totalsRowDxfId="57">
      <calculatedColumnFormula>Append1[[#This Row],[Price per Unit]]*Append1[[#This Row],[Units Sold]]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AD63E-6562-465E-805A-23FCF568D97B}">
  <sheetPr>
    <tabColor theme="6" tint="0.39997558519241921"/>
  </sheetPr>
  <dimension ref="A1:J290"/>
  <sheetViews>
    <sheetView topLeftCell="A3" workbookViewId="0">
      <selection sqref="A1:J1"/>
    </sheetView>
  </sheetViews>
  <sheetFormatPr defaultRowHeight="14.5" x14ac:dyDescent="0.35"/>
  <cols>
    <col min="1" max="1" width="10.26953125" bestFit="1" customWidth="1"/>
    <col min="2" max="2" width="15" bestFit="1" customWidth="1"/>
    <col min="3" max="3" width="12.6328125" bestFit="1" customWidth="1"/>
    <col min="4" max="4" width="12.90625" bestFit="1" customWidth="1"/>
    <col min="5" max="5" width="15.81640625" bestFit="1" customWidth="1"/>
    <col min="6" max="6" width="17.81640625" bestFit="1" customWidth="1"/>
    <col min="7" max="7" width="17.1796875" bestFit="1" customWidth="1"/>
    <col min="8" max="8" width="15.36328125" bestFit="1" customWidth="1"/>
    <col min="9" max="9" width="12.36328125" bestFit="1" customWidth="1"/>
    <col min="10" max="10" width="11" style="5" bestFit="1" customWidth="1"/>
  </cols>
  <sheetData>
    <row r="1" spans="1:10" ht="16" x14ac:dyDescent="0.4">
      <c r="A1" s="2" t="s">
        <v>0</v>
      </c>
      <c r="B1" s="2" t="s">
        <v>1</v>
      </c>
      <c r="C1" s="2" t="s">
        <v>2</v>
      </c>
      <c r="D1" s="2" t="s">
        <v>3</v>
      </c>
      <c r="E1" s="2" t="s">
        <v>4</v>
      </c>
      <c r="F1" s="2" t="s">
        <v>5</v>
      </c>
      <c r="G1" s="2" t="s">
        <v>6</v>
      </c>
      <c r="H1" s="3" t="s">
        <v>7</v>
      </c>
      <c r="I1" s="2" t="s">
        <v>8</v>
      </c>
      <c r="J1" s="3" t="s">
        <v>26</v>
      </c>
    </row>
    <row r="2" spans="1:10" x14ac:dyDescent="0.35">
      <c r="A2" t="s">
        <v>18</v>
      </c>
      <c r="B2" t="s">
        <v>19</v>
      </c>
      <c r="C2">
        <v>1128299</v>
      </c>
      <c r="D2" s="1">
        <v>44581</v>
      </c>
      <c r="E2" s="1">
        <v>44611</v>
      </c>
      <c r="F2" t="s">
        <v>20</v>
      </c>
      <c r="G2" t="s">
        <v>12</v>
      </c>
      <c r="H2" s="4">
        <v>0.39999999999999997</v>
      </c>
      <c r="I2">
        <v>7750</v>
      </c>
      <c r="J2" s="4">
        <f>Append1[[#This Row],[Price per Unit]]*Append1[[#This Row],[Units Sold]]</f>
        <v>3099.9999999999995</v>
      </c>
    </row>
    <row r="3" spans="1:10" x14ac:dyDescent="0.35">
      <c r="A3" t="s">
        <v>18</v>
      </c>
      <c r="B3" t="s">
        <v>19</v>
      </c>
      <c r="C3">
        <v>1128299</v>
      </c>
      <c r="D3" s="1">
        <v>44581</v>
      </c>
      <c r="E3" s="1">
        <v>44646</v>
      </c>
      <c r="F3" t="s">
        <v>20</v>
      </c>
      <c r="G3" t="s">
        <v>13</v>
      </c>
      <c r="H3" s="4">
        <v>0.5</v>
      </c>
      <c r="I3">
        <v>7750</v>
      </c>
      <c r="J3" s="4">
        <f>Append1[[#This Row],[Price per Unit]]*Append1[[#This Row],[Units Sold]]</f>
        <v>3875</v>
      </c>
    </row>
    <row r="4" spans="1:10" x14ac:dyDescent="0.35">
      <c r="A4" t="s">
        <v>18</v>
      </c>
      <c r="B4" t="s">
        <v>19</v>
      </c>
      <c r="C4">
        <v>1128299</v>
      </c>
      <c r="D4" s="1">
        <v>44581</v>
      </c>
      <c r="E4" s="1">
        <v>44646</v>
      </c>
      <c r="F4" t="s">
        <v>20</v>
      </c>
      <c r="G4" t="s">
        <v>14</v>
      </c>
      <c r="H4" s="4">
        <v>0.5</v>
      </c>
      <c r="I4">
        <v>7750</v>
      </c>
      <c r="J4" s="4">
        <f>Append1[[#This Row],[Price per Unit]]*Append1[[#This Row],[Units Sold]]</f>
        <v>3875</v>
      </c>
    </row>
    <row r="5" spans="1:10" x14ac:dyDescent="0.35">
      <c r="A5" t="s">
        <v>18</v>
      </c>
      <c r="B5" t="s">
        <v>19</v>
      </c>
      <c r="C5">
        <v>1128299</v>
      </c>
      <c r="D5" s="1">
        <v>44581</v>
      </c>
      <c r="E5" s="1">
        <v>44618</v>
      </c>
      <c r="F5" t="s">
        <v>20</v>
      </c>
      <c r="G5" t="s">
        <v>15</v>
      </c>
      <c r="H5" s="4">
        <v>0.5</v>
      </c>
      <c r="I5">
        <v>6250</v>
      </c>
      <c r="J5" s="4">
        <f>Append1[[#This Row],[Price per Unit]]*Append1[[#This Row],[Units Sold]]</f>
        <v>3125</v>
      </c>
    </row>
    <row r="6" spans="1:10" x14ac:dyDescent="0.35">
      <c r="A6" t="s">
        <v>18</v>
      </c>
      <c r="B6" t="s">
        <v>19</v>
      </c>
      <c r="C6">
        <v>1128299</v>
      </c>
      <c r="D6" s="1">
        <v>44581</v>
      </c>
      <c r="E6" s="1">
        <v>44611</v>
      </c>
      <c r="F6" t="s">
        <v>20</v>
      </c>
      <c r="G6" t="s">
        <v>16</v>
      </c>
      <c r="H6" s="4">
        <v>0.55000000000000004</v>
      </c>
      <c r="I6">
        <v>5750</v>
      </c>
      <c r="J6" s="4">
        <f>Append1[[#This Row],[Price per Unit]]*Append1[[#This Row],[Units Sold]]</f>
        <v>3162.5000000000005</v>
      </c>
    </row>
    <row r="7" spans="1:10" x14ac:dyDescent="0.35">
      <c r="A7" t="s">
        <v>18</v>
      </c>
      <c r="B7" t="s">
        <v>19</v>
      </c>
      <c r="C7">
        <v>1128299</v>
      </c>
      <c r="D7" s="1">
        <v>44581</v>
      </c>
      <c r="E7" s="1">
        <v>44611</v>
      </c>
      <c r="F7" t="s">
        <v>20</v>
      </c>
      <c r="G7" t="s">
        <v>17</v>
      </c>
      <c r="H7" s="4">
        <v>0.5</v>
      </c>
      <c r="I7">
        <v>7750</v>
      </c>
      <c r="J7" s="4">
        <f>Append1[[#This Row],[Price per Unit]]*Append1[[#This Row],[Units Sold]]</f>
        <v>3875</v>
      </c>
    </row>
    <row r="8" spans="1:10" x14ac:dyDescent="0.35">
      <c r="A8" t="s">
        <v>18</v>
      </c>
      <c r="B8" t="s">
        <v>19</v>
      </c>
      <c r="C8">
        <v>1128299</v>
      </c>
      <c r="D8" s="1">
        <v>44612</v>
      </c>
      <c r="E8" s="1">
        <v>44642</v>
      </c>
      <c r="F8" t="s">
        <v>20</v>
      </c>
      <c r="G8" t="s">
        <v>12</v>
      </c>
      <c r="H8" s="4">
        <v>0.39999999999999997</v>
      </c>
      <c r="I8">
        <v>8250</v>
      </c>
      <c r="J8" s="4">
        <f>Append1[[#This Row],[Price per Unit]]*Append1[[#This Row],[Units Sold]]</f>
        <v>3299.9999999999995</v>
      </c>
    </row>
    <row r="9" spans="1:10" x14ac:dyDescent="0.35">
      <c r="A9" t="s">
        <v>18</v>
      </c>
      <c r="B9" t="s">
        <v>19</v>
      </c>
      <c r="C9">
        <v>1128299</v>
      </c>
      <c r="D9" s="1">
        <v>44612</v>
      </c>
      <c r="E9" s="1">
        <v>44642</v>
      </c>
      <c r="F9" t="s">
        <v>20</v>
      </c>
      <c r="G9" t="s">
        <v>13</v>
      </c>
      <c r="H9" s="4">
        <v>0.5</v>
      </c>
      <c r="I9">
        <v>7250</v>
      </c>
      <c r="J9" s="4">
        <f>Append1[[#This Row],[Price per Unit]]*Append1[[#This Row],[Units Sold]]</f>
        <v>3625</v>
      </c>
    </row>
    <row r="10" spans="1:10" x14ac:dyDescent="0.35">
      <c r="A10" t="s">
        <v>18</v>
      </c>
      <c r="B10" t="s">
        <v>19</v>
      </c>
      <c r="C10">
        <v>1128299</v>
      </c>
      <c r="D10" s="1">
        <v>44612</v>
      </c>
      <c r="E10" s="1">
        <v>44642</v>
      </c>
      <c r="F10" t="s">
        <v>20</v>
      </c>
      <c r="G10" t="s">
        <v>14</v>
      </c>
      <c r="H10" s="4">
        <v>0.5</v>
      </c>
      <c r="I10">
        <v>7250</v>
      </c>
      <c r="J10" s="4">
        <f>Append1[[#This Row],[Price per Unit]]*Append1[[#This Row],[Units Sold]]</f>
        <v>3625</v>
      </c>
    </row>
    <row r="11" spans="1:10" x14ac:dyDescent="0.35">
      <c r="A11" t="s">
        <v>18</v>
      </c>
      <c r="B11" t="s">
        <v>19</v>
      </c>
      <c r="C11">
        <v>1128299</v>
      </c>
      <c r="D11" s="1">
        <v>44612</v>
      </c>
      <c r="E11" s="1">
        <v>44642</v>
      </c>
      <c r="F11" t="s">
        <v>20</v>
      </c>
      <c r="G11" t="s">
        <v>15</v>
      </c>
      <c r="H11" s="4">
        <v>0.5</v>
      </c>
      <c r="I11">
        <v>5750</v>
      </c>
      <c r="J11" s="4">
        <f>Append1[[#This Row],[Price per Unit]]*Append1[[#This Row],[Units Sold]]</f>
        <v>2875</v>
      </c>
    </row>
    <row r="12" spans="1:10" x14ac:dyDescent="0.35">
      <c r="A12" t="s">
        <v>18</v>
      </c>
      <c r="B12" t="s">
        <v>19</v>
      </c>
      <c r="C12">
        <v>1128299</v>
      </c>
      <c r="D12" s="1">
        <v>44612</v>
      </c>
      <c r="E12" s="1">
        <v>44645</v>
      </c>
      <c r="F12" t="s">
        <v>20</v>
      </c>
      <c r="G12" t="s">
        <v>16</v>
      </c>
      <c r="H12" s="4">
        <v>0.55000000000000004</v>
      </c>
      <c r="I12">
        <v>5000</v>
      </c>
      <c r="J12" s="4">
        <f>Append1[[#This Row],[Price per Unit]]*Append1[[#This Row],[Units Sold]]</f>
        <v>2750</v>
      </c>
    </row>
    <row r="13" spans="1:10" x14ac:dyDescent="0.35">
      <c r="A13" t="s">
        <v>18</v>
      </c>
      <c r="B13" t="s">
        <v>19</v>
      </c>
      <c r="C13">
        <v>1128299</v>
      </c>
      <c r="D13" s="1">
        <v>44612</v>
      </c>
      <c r="E13" s="1">
        <v>44642</v>
      </c>
      <c r="F13" t="s">
        <v>20</v>
      </c>
      <c r="G13" t="s">
        <v>17</v>
      </c>
      <c r="H13" s="4">
        <v>0.5</v>
      </c>
      <c r="I13">
        <v>7000</v>
      </c>
      <c r="J13" s="4">
        <f>Append1[[#This Row],[Price per Unit]]*Append1[[#This Row],[Units Sold]]</f>
        <v>3500</v>
      </c>
    </row>
    <row r="14" spans="1:10" x14ac:dyDescent="0.35">
      <c r="A14" t="s">
        <v>18</v>
      </c>
      <c r="B14" t="s">
        <v>19</v>
      </c>
      <c r="C14">
        <v>1128299</v>
      </c>
      <c r="D14" s="1">
        <v>44639</v>
      </c>
      <c r="E14" s="1">
        <v>44669</v>
      </c>
      <c r="F14" t="s">
        <v>20</v>
      </c>
      <c r="G14" t="s">
        <v>12</v>
      </c>
      <c r="H14" s="4">
        <v>0.5</v>
      </c>
      <c r="I14">
        <v>8500</v>
      </c>
      <c r="J14" s="4">
        <f>Append1[[#This Row],[Price per Unit]]*Append1[[#This Row],[Units Sold]]</f>
        <v>4250</v>
      </c>
    </row>
    <row r="15" spans="1:10" x14ac:dyDescent="0.35">
      <c r="A15" t="s">
        <v>18</v>
      </c>
      <c r="B15" t="s">
        <v>19</v>
      </c>
      <c r="C15">
        <v>1128299</v>
      </c>
      <c r="D15" s="1">
        <v>44639</v>
      </c>
      <c r="E15" s="1">
        <v>44669</v>
      </c>
      <c r="F15" t="s">
        <v>20</v>
      </c>
      <c r="G15" t="s">
        <v>13</v>
      </c>
      <c r="H15" s="4">
        <v>0.6</v>
      </c>
      <c r="I15">
        <v>7000</v>
      </c>
      <c r="J15" s="4">
        <f>Append1[[#This Row],[Price per Unit]]*Append1[[#This Row],[Units Sold]]</f>
        <v>4200</v>
      </c>
    </row>
    <row r="16" spans="1:10" x14ac:dyDescent="0.35">
      <c r="A16" t="s">
        <v>18</v>
      </c>
      <c r="B16" t="s">
        <v>19</v>
      </c>
      <c r="C16">
        <v>1128299</v>
      </c>
      <c r="D16" s="1">
        <v>44639</v>
      </c>
      <c r="E16" s="1">
        <v>44669</v>
      </c>
      <c r="F16" t="s">
        <v>20</v>
      </c>
      <c r="G16" t="s">
        <v>14</v>
      </c>
      <c r="H16" s="4">
        <v>0.6</v>
      </c>
      <c r="I16">
        <v>7000</v>
      </c>
      <c r="J16" s="4">
        <f>Append1[[#This Row],[Price per Unit]]*Append1[[#This Row],[Units Sold]]</f>
        <v>4200</v>
      </c>
    </row>
    <row r="17" spans="1:10" x14ac:dyDescent="0.35">
      <c r="A17" t="s">
        <v>18</v>
      </c>
      <c r="B17" t="s">
        <v>19</v>
      </c>
      <c r="C17">
        <v>1128299</v>
      </c>
      <c r="D17" s="1">
        <v>44639</v>
      </c>
      <c r="E17" s="1">
        <v>44669</v>
      </c>
      <c r="F17" t="s">
        <v>20</v>
      </c>
      <c r="G17" t="s">
        <v>15</v>
      </c>
      <c r="H17" s="4">
        <v>0.6</v>
      </c>
      <c r="I17">
        <v>6000</v>
      </c>
      <c r="J17" s="4">
        <f>Append1[[#This Row],[Price per Unit]]*Append1[[#This Row],[Units Sold]]</f>
        <v>3600</v>
      </c>
    </row>
    <row r="18" spans="1:10" x14ac:dyDescent="0.35">
      <c r="A18" t="s">
        <v>18</v>
      </c>
      <c r="B18" t="s">
        <v>19</v>
      </c>
      <c r="C18">
        <v>1128299</v>
      </c>
      <c r="D18" s="1">
        <v>44639</v>
      </c>
      <c r="E18" s="1">
        <v>44669</v>
      </c>
      <c r="F18" t="s">
        <v>20</v>
      </c>
      <c r="G18" t="s">
        <v>16</v>
      </c>
      <c r="H18" s="4">
        <v>0.65</v>
      </c>
      <c r="I18">
        <v>5000</v>
      </c>
      <c r="J18" s="4">
        <f>Append1[[#This Row],[Price per Unit]]*Append1[[#This Row],[Units Sold]]</f>
        <v>3250</v>
      </c>
    </row>
    <row r="19" spans="1:10" x14ac:dyDescent="0.35">
      <c r="A19" t="s">
        <v>18</v>
      </c>
      <c r="B19" t="s">
        <v>19</v>
      </c>
      <c r="C19">
        <v>1128299</v>
      </c>
      <c r="D19" s="1">
        <v>44639</v>
      </c>
      <c r="E19" s="1">
        <v>44669</v>
      </c>
      <c r="F19" t="s">
        <v>20</v>
      </c>
      <c r="G19" t="s">
        <v>17</v>
      </c>
      <c r="H19" s="4">
        <v>0.6</v>
      </c>
      <c r="I19">
        <v>7000</v>
      </c>
      <c r="J19" s="4">
        <f>Append1[[#This Row],[Price per Unit]]*Append1[[#This Row],[Units Sold]]</f>
        <v>4200</v>
      </c>
    </row>
    <row r="20" spans="1:10" x14ac:dyDescent="0.35">
      <c r="A20" t="s">
        <v>18</v>
      </c>
      <c r="B20" t="s">
        <v>19</v>
      </c>
      <c r="C20">
        <v>1128299</v>
      </c>
      <c r="D20" s="1">
        <v>44671</v>
      </c>
      <c r="E20" s="1">
        <v>44701</v>
      </c>
      <c r="F20" t="s">
        <v>20</v>
      </c>
      <c r="G20" t="s">
        <v>12</v>
      </c>
      <c r="H20" s="4">
        <v>0.6</v>
      </c>
      <c r="I20">
        <v>8750</v>
      </c>
      <c r="J20" s="4">
        <f>Append1[[#This Row],[Price per Unit]]*Append1[[#This Row],[Units Sold]]</f>
        <v>5250</v>
      </c>
    </row>
    <row r="21" spans="1:10" x14ac:dyDescent="0.35">
      <c r="A21" t="s">
        <v>18</v>
      </c>
      <c r="B21" t="s">
        <v>19</v>
      </c>
      <c r="C21">
        <v>1128299</v>
      </c>
      <c r="D21" s="1">
        <v>44671</v>
      </c>
      <c r="E21" s="1">
        <v>44701</v>
      </c>
      <c r="F21" t="s">
        <v>20</v>
      </c>
      <c r="G21" t="s">
        <v>13</v>
      </c>
      <c r="H21" s="4">
        <v>0.65</v>
      </c>
      <c r="I21">
        <v>6750</v>
      </c>
      <c r="J21" s="4">
        <f>Append1[[#This Row],[Price per Unit]]*Append1[[#This Row],[Units Sold]]</f>
        <v>4387.5</v>
      </c>
    </row>
    <row r="22" spans="1:10" x14ac:dyDescent="0.35">
      <c r="A22" t="s">
        <v>18</v>
      </c>
      <c r="B22" t="s">
        <v>19</v>
      </c>
      <c r="C22">
        <v>1128299</v>
      </c>
      <c r="D22" s="1">
        <v>44671</v>
      </c>
      <c r="E22" s="1">
        <v>44701</v>
      </c>
      <c r="F22" t="s">
        <v>20</v>
      </c>
      <c r="G22" t="s">
        <v>14</v>
      </c>
      <c r="H22" s="4">
        <v>0.65</v>
      </c>
      <c r="I22">
        <v>7250</v>
      </c>
      <c r="J22" s="4">
        <f>Append1[[#This Row],[Price per Unit]]*Append1[[#This Row],[Units Sold]]</f>
        <v>4712.5</v>
      </c>
    </row>
    <row r="23" spans="1:10" x14ac:dyDescent="0.35">
      <c r="A23" t="s">
        <v>18</v>
      </c>
      <c r="B23" t="s">
        <v>19</v>
      </c>
      <c r="C23">
        <v>1128299</v>
      </c>
      <c r="D23" s="1">
        <v>44671</v>
      </c>
      <c r="E23" s="1">
        <v>44701</v>
      </c>
      <c r="F23" t="s">
        <v>20</v>
      </c>
      <c r="G23" t="s">
        <v>15</v>
      </c>
      <c r="H23" s="4">
        <v>0.6</v>
      </c>
      <c r="I23">
        <v>6250</v>
      </c>
      <c r="J23" s="4">
        <f>Append1[[#This Row],[Price per Unit]]*Append1[[#This Row],[Units Sold]]</f>
        <v>3750</v>
      </c>
    </row>
    <row r="24" spans="1:10" x14ac:dyDescent="0.35">
      <c r="A24" t="s">
        <v>18</v>
      </c>
      <c r="B24" t="s">
        <v>19</v>
      </c>
      <c r="C24">
        <v>1128299</v>
      </c>
      <c r="D24" s="1">
        <v>44671</v>
      </c>
      <c r="E24" s="1">
        <v>44701</v>
      </c>
      <c r="F24" t="s">
        <v>20</v>
      </c>
      <c r="G24" t="s">
        <v>16</v>
      </c>
      <c r="H24" s="4">
        <v>0.65</v>
      </c>
      <c r="I24">
        <v>5250</v>
      </c>
      <c r="J24" s="4">
        <f>Append1[[#This Row],[Price per Unit]]*Append1[[#This Row],[Units Sold]]</f>
        <v>3412.5</v>
      </c>
    </row>
    <row r="25" spans="1:10" x14ac:dyDescent="0.35">
      <c r="A25" t="s">
        <v>18</v>
      </c>
      <c r="B25" t="s">
        <v>19</v>
      </c>
      <c r="C25">
        <v>1128299</v>
      </c>
      <c r="D25" s="1">
        <v>44671</v>
      </c>
      <c r="E25" s="1">
        <v>44701</v>
      </c>
      <c r="F25" t="s">
        <v>20</v>
      </c>
      <c r="G25" t="s">
        <v>17</v>
      </c>
      <c r="H25" s="4">
        <v>0.8</v>
      </c>
      <c r="I25">
        <v>7000</v>
      </c>
      <c r="J25" s="4">
        <f>Append1[[#This Row],[Price per Unit]]*Append1[[#This Row],[Units Sold]]</f>
        <v>5600</v>
      </c>
    </row>
    <row r="26" spans="1:10" x14ac:dyDescent="0.35">
      <c r="A26" t="s">
        <v>18</v>
      </c>
      <c r="B26" t="s">
        <v>19</v>
      </c>
      <c r="C26">
        <v>1128299</v>
      </c>
      <c r="D26" s="1">
        <v>44702</v>
      </c>
      <c r="E26" s="1">
        <v>44732</v>
      </c>
      <c r="F26" t="s">
        <v>20</v>
      </c>
      <c r="G26" t="s">
        <v>12</v>
      </c>
      <c r="H26" s="4">
        <v>0.6</v>
      </c>
      <c r="I26">
        <v>9000</v>
      </c>
      <c r="J26" s="4">
        <f>Append1[[#This Row],[Price per Unit]]*Append1[[#This Row],[Units Sold]]</f>
        <v>5400</v>
      </c>
    </row>
    <row r="27" spans="1:10" x14ac:dyDescent="0.35">
      <c r="A27" t="s">
        <v>18</v>
      </c>
      <c r="B27" t="s">
        <v>19</v>
      </c>
      <c r="C27">
        <v>1128299</v>
      </c>
      <c r="D27" s="1">
        <v>44702</v>
      </c>
      <c r="E27" s="1">
        <v>44732</v>
      </c>
      <c r="F27" t="s">
        <v>20</v>
      </c>
      <c r="G27" t="s">
        <v>13</v>
      </c>
      <c r="H27" s="4">
        <v>0.65</v>
      </c>
      <c r="I27">
        <v>7500</v>
      </c>
      <c r="J27" s="4">
        <f>Append1[[#This Row],[Price per Unit]]*Append1[[#This Row],[Units Sold]]</f>
        <v>4875</v>
      </c>
    </row>
    <row r="28" spans="1:10" x14ac:dyDescent="0.35">
      <c r="A28" t="s">
        <v>18</v>
      </c>
      <c r="B28" t="s">
        <v>19</v>
      </c>
      <c r="C28">
        <v>1128299</v>
      </c>
      <c r="D28" s="1">
        <v>44702</v>
      </c>
      <c r="E28" s="1">
        <v>44732</v>
      </c>
      <c r="F28" t="s">
        <v>20</v>
      </c>
      <c r="G28" t="s">
        <v>14</v>
      </c>
      <c r="H28" s="4">
        <v>0.65</v>
      </c>
      <c r="I28">
        <v>7500</v>
      </c>
      <c r="J28" s="4">
        <f>Append1[[#This Row],[Price per Unit]]*Append1[[#This Row],[Units Sold]]</f>
        <v>4875</v>
      </c>
    </row>
    <row r="29" spans="1:10" x14ac:dyDescent="0.35">
      <c r="A29" t="s">
        <v>18</v>
      </c>
      <c r="B29" t="s">
        <v>19</v>
      </c>
      <c r="C29">
        <v>1128299</v>
      </c>
      <c r="D29" s="1">
        <v>44702</v>
      </c>
      <c r="E29" s="1">
        <v>44732</v>
      </c>
      <c r="F29" t="s">
        <v>20</v>
      </c>
      <c r="G29" t="s">
        <v>15</v>
      </c>
      <c r="H29" s="4">
        <v>0.6</v>
      </c>
      <c r="I29">
        <v>6500</v>
      </c>
      <c r="J29" s="4">
        <f>Append1[[#This Row],[Price per Unit]]*Append1[[#This Row],[Units Sold]]</f>
        <v>3900</v>
      </c>
    </row>
    <row r="30" spans="1:10" x14ac:dyDescent="0.35">
      <c r="A30" t="s">
        <v>18</v>
      </c>
      <c r="B30" t="s">
        <v>19</v>
      </c>
      <c r="C30">
        <v>1128299</v>
      </c>
      <c r="D30" s="1">
        <v>44702</v>
      </c>
      <c r="E30" s="1">
        <v>44732</v>
      </c>
      <c r="F30" t="s">
        <v>20</v>
      </c>
      <c r="G30" t="s">
        <v>16</v>
      </c>
      <c r="H30" s="4">
        <v>0.65</v>
      </c>
      <c r="I30">
        <v>5500</v>
      </c>
      <c r="J30" s="4">
        <f>Append1[[#This Row],[Price per Unit]]*Append1[[#This Row],[Units Sold]]</f>
        <v>3575</v>
      </c>
    </row>
    <row r="31" spans="1:10" x14ac:dyDescent="0.35">
      <c r="A31" t="s">
        <v>18</v>
      </c>
      <c r="B31" t="s">
        <v>19</v>
      </c>
      <c r="C31">
        <v>1128299</v>
      </c>
      <c r="D31" s="1">
        <v>44702</v>
      </c>
      <c r="E31" s="1">
        <v>44732</v>
      </c>
      <c r="F31" t="s">
        <v>20</v>
      </c>
      <c r="G31" t="s">
        <v>17</v>
      </c>
      <c r="H31" s="4">
        <v>0.8</v>
      </c>
      <c r="I31">
        <v>7250</v>
      </c>
      <c r="J31" s="4">
        <f>Append1[[#This Row],[Price per Unit]]*Append1[[#This Row],[Units Sold]]</f>
        <v>5800</v>
      </c>
    </row>
    <row r="32" spans="1:10" x14ac:dyDescent="0.35">
      <c r="A32" t="s">
        <v>18</v>
      </c>
      <c r="B32" t="s">
        <v>19</v>
      </c>
      <c r="C32">
        <v>1128299</v>
      </c>
      <c r="D32" s="1">
        <v>44732</v>
      </c>
      <c r="E32" s="1">
        <v>44762</v>
      </c>
      <c r="F32" t="s">
        <v>20</v>
      </c>
      <c r="G32" t="s">
        <v>12</v>
      </c>
      <c r="H32" s="4">
        <v>0.6</v>
      </c>
      <c r="I32">
        <v>9750</v>
      </c>
      <c r="J32" s="4">
        <f>Append1[[#This Row],[Price per Unit]]*Append1[[#This Row],[Units Sold]]</f>
        <v>5850</v>
      </c>
    </row>
    <row r="33" spans="1:10" x14ac:dyDescent="0.35">
      <c r="A33" t="s">
        <v>18</v>
      </c>
      <c r="B33" t="s">
        <v>19</v>
      </c>
      <c r="C33">
        <v>1128299</v>
      </c>
      <c r="D33" s="1">
        <v>44732</v>
      </c>
      <c r="E33" s="1">
        <v>44762</v>
      </c>
      <c r="F33" t="s">
        <v>20</v>
      </c>
      <c r="G33" t="s">
        <v>13</v>
      </c>
      <c r="H33" s="4">
        <v>0.65</v>
      </c>
      <c r="I33">
        <v>8250</v>
      </c>
      <c r="J33" s="4">
        <f>Append1[[#This Row],[Price per Unit]]*Append1[[#This Row],[Units Sold]]</f>
        <v>5362.5</v>
      </c>
    </row>
    <row r="34" spans="1:10" x14ac:dyDescent="0.35">
      <c r="A34" t="s">
        <v>18</v>
      </c>
      <c r="B34" t="s">
        <v>19</v>
      </c>
      <c r="C34">
        <v>1128299</v>
      </c>
      <c r="D34" s="1">
        <v>44732</v>
      </c>
      <c r="E34" s="1">
        <v>44762</v>
      </c>
      <c r="F34" t="s">
        <v>20</v>
      </c>
      <c r="G34" t="s">
        <v>14</v>
      </c>
      <c r="H34" s="4">
        <v>0.65</v>
      </c>
      <c r="I34">
        <v>8250</v>
      </c>
      <c r="J34" s="4">
        <f>Append1[[#This Row],[Price per Unit]]*Append1[[#This Row],[Units Sold]]</f>
        <v>5362.5</v>
      </c>
    </row>
    <row r="35" spans="1:10" x14ac:dyDescent="0.35">
      <c r="A35" t="s">
        <v>18</v>
      </c>
      <c r="B35" t="s">
        <v>19</v>
      </c>
      <c r="C35">
        <v>1128299</v>
      </c>
      <c r="D35" s="1">
        <v>44732</v>
      </c>
      <c r="E35" s="1">
        <v>44762</v>
      </c>
      <c r="F35" t="s">
        <v>20</v>
      </c>
      <c r="G35" t="s">
        <v>15</v>
      </c>
      <c r="H35" s="4">
        <v>0.6</v>
      </c>
      <c r="I35">
        <v>7000</v>
      </c>
      <c r="J35" s="4">
        <f>Append1[[#This Row],[Price per Unit]]*Append1[[#This Row],[Units Sold]]</f>
        <v>4200</v>
      </c>
    </row>
    <row r="36" spans="1:10" x14ac:dyDescent="0.35">
      <c r="A36" t="s">
        <v>18</v>
      </c>
      <c r="B36" t="s">
        <v>19</v>
      </c>
      <c r="C36">
        <v>1128299</v>
      </c>
      <c r="D36" s="1">
        <v>44732</v>
      </c>
      <c r="E36" s="1">
        <v>44762</v>
      </c>
      <c r="F36" t="s">
        <v>20</v>
      </c>
      <c r="G36" t="s">
        <v>16</v>
      </c>
      <c r="H36" s="4">
        <v>0.65</v>
      </c>
      <c r="I36">
        <v>5750</v>
      </c>
      <c r="J36" s="4">
        <f>Append1[[#This Row],[Price per Unit]]*Append1[[#This Row],[Units Sold]]</f>
        <v>3737.5</v>
      </c>
    </row>
    <row r="37" spans="1:10" x14ac:dyDescent="0.35">
      <c r="A37" t="s">
        <v>18</v>
      </c>
      <c r="B37" t="s">
        <v>19</v>
      </c>
      <c r="C37">
        <v>1128299</v>
      </c>
      <c r="D37" s="1">
        <v>44732</v>
      </c>
      <c r="E37" s="1">
        <v>44762</v>
      </c>
      <c r="F37" t="s">
        <v>20</v>
      </c>
      <c r="G37" t="s">
        <v>17</v>
      </c>
      <c r="H37" s="4">
        <v>0.8</v>
      </c>
      <c r="I37">
        <v>8750</v>
      </c>
      <c r="J37" s="4">
        <f>Append1[[#This Row],[Price per Unit]]*Append1[[#This Row],[Units Sold]]</f>
        <v>7000</v>
      </c>
    </row>
    <row r="38" spans="1:10" x14ac:dyDescent="0.35">
      <c r="A38" t="s">
        <v>18</v>
      </c>
      <c r="B38" t="s">
        <v>19</v>
      </c>
      <c r="C38">
        <v>1128299</v>
      </c>
      <c r="D38" s="1">
        <v>44761</v>
      </c>
      <c r="E38" s="1">
        <v>44791</v>
      </c>
      <c r="F38" t="s">
        <v>20</v>
      </c>
      <c r="G38" t="s">
        <v>12</v>
      </c>
      <c r="H38" s="4">
        <v>0.6</v>
      </c>
      <c r="I38">
        <v>10250</v>
      </c>
      <c r="J38" s="4">
        <f>Append1[[#This Row],[Price per Unit]]*Append1[[#This Row],[Units Sold]]</f>
        <v>6150</v>
      </c>
    </row>
    <row r="39" spans="1:10" x14ac:dyDescent="0.35">
      <c r="A39" t="s">
        <v>18</v>
      </c>
      <c r="B39" t="s">
        <v>19</v>
      </c>
      <c r="C39">
        <v>1128299</v>
      </c>
      <c r="D39" s="1">
        <v>44761</v>
      </c>
      <c r="E39" s="1">
        <v>44791</v>
      </c>
      <c r="F39" t="s">
        <v>20</v>
      </c>
      <c r="G39" t="s">
        <v>13</v>
      </c>
      <c r="H39" s="4">
        <v>0.65</v>
      </c>
      <c r="I39">
        <v>8750</v>
      </c>
      <c r="J39" s="4">
        <f>Append1[[#This Row],[Price per Unit]]*Append1[[#This Row],[Units Sold]]</f>
        <v>5687.5</v>
      </c>
    </row>
    <row r="40" spans="1:10" x14ac:dyDescent="0.35">
      <c r="A40" t="s">
        <v>18</v>
      </c>
      <c r="B40" t="s">
        <v>19</v>
      </c>
      <c r="C40">
        <v>1128299</v>
      </c>
      <c r="D40" s="1">
        <v>44761</v>
      </c>
      <c r="E40" s="1">
        <v>44791</v>
      </c>
      <c r="F40" t="s">
        <v>20</v>
      </c>
      <c r="G40" t="s">
        <v>14</v>
      </c>
      <c r="H40" s="4">
        <v>0.65</v>
      </c>
      <c r="I40">
        <v>8250</v>
      </c>
      <c r="J40" s="4">
        <f>Append1[[#This Row],[Price per Unit]]*Append1[[#This Row],[Units Sold]]</f>
        <v>5362.5</v>
      </c>
    </row>
    <row r="41" spans="1:10" x14ac:dyDescent="0.35">
      <c r="A41" t="s">
        <v>18</v>
      </c>
      <c r="B41" t="s">
        <v>19</v>
      </c>
      <c r="C41">
        <v>1128299</v>
      </c>
      <c r="D41" s="1">
        <v>44761</v>
      </c>
      <c r="E41" s="1">
        <v>44791</v>
      </c>
      <c r="F41" t="s">
        <v>20</v>
      </c>
      <c r="G41" t="s">
        <v>15</v>
      </c>
      <c r="H41" s="4">
        <v>0.6</v>
      </c>
      <c r="I41">
        <v>7250</v>
      </c>
      <c r="J41" s="4">
        <f>Append1[[#This Row],[Price per Unit]]*Append1[[#This Row],[Units Sold]]</f>
        <v>4350</v>
      </c>
    </row>
    <row r="42" spans="1:10" x14ac:dyDescent="0.35">
      <c r="A42" t="s">
        <v>18</v>
      </c>
      <c r="B42" t="s">
        <v>19</v>
      </c>
      <c r="C42">
        <v>1128299</v>
      </c>
      <c r="D42" s="1">
        <v>44761</v>
      </c>
      <c r="E42" s="1">
        <v>44791</v>
      </c>
      <c r="F42" t="s">
        <v>20</v>
      </c>
      <c r="G42" t="s">
        <v>16</v>
      </c>
      <c r="H42" s="4">
        <v>0.65</v>
      </c>
      <c r="I42">
        <v>7750</v>
      </c>
      <c r="J42" s="4">
        <f>Append1[[#This Row],[Price per Unit]]*Append1[[#This Row],[Units Sold]]</f>
        <v>5037.5</v>
      </c>
    </row>
    <row r="43" spans="1:10" x14ac:dyDescent="0.35">
      <c r="A43" t="s">
        <v>18</v>
      </c>
      <c r="B43" t="s">
        <v>19</v>
      </c>
      <c r="C43">
        <v>1128299</v>
      </c>
      <c r="D43" s="1">
        <v>44761</v>
      </c>
      <c r="E43" s="1">
        <v>44791</v>
      </c>
      <c r="F43" t="s">
        <v>20</v>
      </c>
      <c r="G43" t="s">
        <v>17</v>
      </c>
      <c r="H43" s="4">
        <v>0.8</v>
      </c>
      <c r="I43">
        <v>7750</v>
      </c>
      <c r="J43" s="4">
        <f>Append1[[#This Row],[Price per Unit]]*Append1[[#This Row],[Units Sold]]</f>
        <v>6200</v>
      </c>
    </row>
    <row r="44" spans="1:10" x14ac:dyDescent="0.35">
      <c r="A44" t="s">
        <v>18</v>
      </c>
      <c r="B44" t="s">
        <v>19</v>
      </c>
      <c r="C44">
        <v>1128299</v>
      </c>
      <c r="D44" s="1">
        <v>44793</v>
      </c>
      <c r="E44" s="1">
        <v>44823</v>
      </c>
      <c r="F44" t="s">
        <v>20</v>
      </c>
      <c r="G44" t="s">
        <v>12</v>
      </c>
      <c r="H44" s="4">
        <v>0.65</v>
      </c>
      <c r="I44">
        <v>9750</v>
      </c>
      <c r="J44" s="4">
        <f>Append1[[#This Row],[Price per Unit]]*Append1[[#This Row],[Units Sold]]</f>
        <v>6337.5</v>
      </c>
    </row>
    <row r="45" spans="1:10" x14ac:dyDescent="0.35">
      <c r="A45" t="s">
        <v>18</v>
      </c>
      <c r="B45" t="s">
        <v>19</v>
      </c>
      <c r="C45">
        <v>1128299</v>
      </c>
      <c r="D45" s="1">
        <v>44793</v>
      </c>
      <c r="E45" s="1">
        <v>44823</v>
      </c>
      <c r="F45" t="s">
        <v>20</v>
      </c>
      <c r="G45" t="s">
        <v>13</v>
      </c>
      <c r="H45" s="4">
        <v>0.70000000000000007</v>
      </c>
      <c r="I45">
        <v>9250</v>
      </c>
      <c r="J45" s="4">
        <f>Append1[[#This Row],[Price per Unit]]*Append1[[#This Row],[Units Sold]]</f>
        <v>6475.0000000000009</v>
      </c>
    </row>
    <row r="46" spans="1:10" x14ac:dyDescent="0.35">
      <c r="A46" t="s">
        <v>18</v>
      </c>
      <c r="B46" t="s">
        <v>19</v>
      </c>
      <c r="C46">
        <v>1128299</v>
      </c>
      <c r="D46" s="1">
        <v>44793</v>
      </c>
      <c r="E46" s="1">
        <v>44823</v>
      </c>
      <c r="F46" t="s">
        <v>20</v>
      </c>
      <c r="G46" t="s">
        <v>14</v>
      </c>
      <c r="H46" s="4">
        <v>0.65</v>
      </c>
      <c r="I46">
        <v>8000</v>
      </c>
      <c r="J46" s="4">
        <f>Append1[[#This Row],[Price per Unit]]*Append1[[#This Row],[Units Sold]]</f>
        <v>5200</v>
      </c>
    </row>
    <row r="47" spans="1:10" x14ac:dyDescent="0.35">
      <c r="A47" t="s">
        <v>18</v>
      </c>
      <c r="B47" t="s">
        <v>19</v>
      </c>
      <c r="C47">
        <v>1128299</v>
      </c>
      <c r="D47" s="1">
        <v>44793</v>
      </c>
      <c r="E47" s="1">
        <v>44823</v>
      </c>
      <c r="F47" t="s">
        <v>20</v>
      </c>
      <c r="G47" t="s">
        <v>15</v>
      </c>
      <c r="H47" s="4">
        <v>0.65</v>
      </c>
      <c r="I47">
        <v>7500</v>
      </c>
      <c r="J47" s="4">
        <f>Append1[[#This Row],[Price per Unit]]*Append1[[#This Row],[Units Sold]]</f>
        <v>4875</v>
      </c>
    </row>
    <row r="48" spans="1:10" x14ac:dyDescent="0.35">
      <c r="A48" t="s">
        <v>18</v>
      </c>
      <c r="B48" t="s">
        <v>19</v>
      </c>
      <c r="C48">
        <v>1128299</v>
      </c>
      <c r="D48" s="1">
        <v>44793</v>
      </c>
      <c r="E48" s="1">
        <v>44823</v>
      </c>
      <c r="F48" t="s">
        <v>20</v>
      </c>
      <c r="G48" t="s">
        <v>16</v>
      </c>
      <c r="H48" s="4">
        <v>0.75</v>
      </c>
      <c r="I48">
        <v>7500</v>
      </c>
      <c r="J48" s="4">
        <f>Append1[[#This Row],[Price per Unit]]*Append1[[#This Row],[Units Sold]]</f>
        <v>5625</v>
      </c>
    </row>
    <row r="49" spans="1:10" x14ac:dyDescent="0.35">
      <c r="A49" t="s">
        <v>18</v>
      </c>
      <c r="B49" t="s">
        <v>19</v>
      </c>
      <c r="C49">
        <v>1128299</v>
      </c>
      <c r="D49" s="1">
        <v>44793</v>
      </c>
      <c r="E49" s="1">
        <v>44823</v>
      </c>
      <c r="F49" t="s">
        <v>20</v>
      </c>
      <c r="G49" t="s">
        <v>17</v>
      </c>
      <c r="H49" s="4">
        <v>0.8</v>
      </c>
      <c r="I49">
        <v>7250</v>
      </c>
      <c r="J49" s="4">
        <f>Append1[[#This Row],[Price per Unit]]*Append1[[#This Row],[Units Sold]]</f>
        <v>5800</v>
      </c>
    </row>
    <row r="50" spans="1:10" x14ac:dyDescent="0.35">
      <c r="A50" t="s">
        <v>18</v>
      </c>
      <c r="B50" t="s">
        <v>19</v>
      </c>
      <c r="C50">
        <v>1128299</v>
      </c>
      <c r="D50" s="1">
        <v>44825</v>
      </c>
      <c r="E50" s="1">
        <v>44855</v>
      </c>
      <c r="F50" t="s">
        <v>20</v>
      </c>
      <c r="G50" t="s">
        <v>12</v>
      </c>
      <c r="H50" s="4">
        <v>0.55000000000000004</v>
      </c>
      <c r="I50">
        <v>9250</v>
      </c>
      <c r="J50" s="4">
        <f>Append1[[#This Row],[Price per Unit]]*Append1[[#This Row],[Units Sold]]</f>
        <v>5087.5</v>
      </c>
    </row>
    <row r="51" spans="1:10" x14ac:dyDescent="0.35">
      <c r="A51" t="s">
        <v>18</v>
      </c>
      <c r="B51" t="s">
        <v>19</v>
      </c>
      <c r="C51">
        <v>1128299</v>
      </c>
      <c r="D51" s="1">
        <v>44825</v>
      </c>
      <c r="E51" s="1">
        <v>44855</v>
      </c>
      <c r="F51" t="s">
        <v>20</v>
      </c>
      <c r="G51" t="s">
        <v>13</v>
      </c>
      <c r="H51" s="4">
        <v>0.60000000000000009</v>
      </c>
      <c r="I51">
        <v>9250</v>
      </c>
      <c r="J51" s="4">
        <f>Append1[[#This Row],[Price per Unit]]*Append1[[#This Row],[Units Sold]]</f>
        <v>5550.0000000000009</v>
      </c>
    </row>
    <row r="52" spans="1:10" x14ac:dyDescent="0.35">
      <c r="A52" t="s">
        <v>18</v>
      </c>
      <c r="B52" t="s">
        <v>19</v>
      </c>
      <c r="C52">
        <v>1128299</v>
      </c>
      <c r="D52" s="1">
        <v>44825</v>
      </c>
      <c r="E52" s="1">
        <v>44855</v>
      </c>
      <c r="F52" t="s">
        <v>20</v>
      </c>
      <c r="G52" t="s">
        <v>14</v>
      </c>
      <c r="H52" s="4">
        <v>0.55000000000000004</v>
      </c>
      <c r="I52">
        <v>7750</v>
      </c>
      <c r="J52" s="4">
        <f>Append1[[#This Row],[Price per Unit]]*Append1[[#This Row],[Units Sold]]</f>
        <v>4262.5</v>
      </c>
    </row>
    <row r="53" spans="1:10" x14ac:dyDescent="0.35">
      <c r="A53" t="s">
        <v>18</v>
      </c>
      <c r="B53" t="s">
        <v>19</v>
      </c>
      <c r="C53">
        <v>1128299</v>
      </c>
      <c r="D53" s="1">
        <v>44825</v>
      </c>
      <c r="E53" s="1">
        <v>44855</v>
      </c>
      <c r="F53" t="s">
        <v>20</v>
      </c>
      <c r="G53" t="s">
        <v>15</v>
      </c>
      <c r="H53" s="4">
        <v>0.55000000000000004</v>
      </c>
      <c r="I53">
        <v>7250</v>
      </c>
      <c r="J53" s="4">
        <f>Append1[[#This Row],[Price per Unit]]*Append1[[#This Row],[Units Sold]]</f>
        <v>3987.5000000000005</v>
      </c>
    </row>
    <row r="54" spans="1:10" x14ac:dyDescent="0.35">
      <c r="A54" t="s">
        <v>18</v>
      </c>
      <c r="B54" t="s">
        <v>19</v>
      </c>
      <c r="C54">
        <v>1128299</v>
      </c>
      <c r="D54" s="1">
        <v>44825</v>
      </c>
      <c r="E54" s="1">
        <v>44855</v>
      </c>
      <c r="F54" t="s">
        <v>20</v>
      </c>
      <c r="G54" t="s">
        <v>16</v>
      </c>
      <c r="H54" s="4">
        <v>0.65</v>
      </c>
      <c r="I54">
        <v>7250</v>
      </c>
      <c r="J54" s="4">
        <f>Append1[[#This Row],[Price per Unit]]*Append1[[#This Row],[Units Sold]]</f>
        <v>4712.5</v>
      </c>
    </row>
    <row r="55" spans="1:10" x14ac:dyDescent="0.35">
      <c r="A55" t="s">
        <v>18</v>
      </c>
      <c r="B55" t="s">
        <v>19</v>
      </c>
      <c r="C55">
        <v>1128299</v>
      </c>
      <c r="D55" s="1">
        <v>44825</v>
      </c>
      <c r="E55" s="1">
        <v>44855</v>
      </c>
      <c r="F55" t="s">
        <v>20</v>
      </c>
      <c r="G55" t="s">
        <v>17</v>
      </c>
      <c r="H55" s="4">
        <v>0.70000000000000007</v>
      </c>
      <c r="I55">
        <v>7750</v>
      </c>
      <c r="J55" s="4">
        <f>Append1[[#This Row],[Price per Unit]]*Append1[[#This Row],[Units Sold]]</f>
        <v>5425.0000000000009</v>
      </c>
    </row>
    <row r="56" spans="1:10" x14ac:dyDescent="0.35">
      <c r="A56" t="s">
        <v>18</v>
      </c>
      <c r="B56" t="s">
        <v>19</v>
      </c>
      <c r="C56">
        <v>1128299</v>
      </c>
      <c r="D56" s="1">
        <v>44854</v>
      </c>
      <c r="E56" s="1">
        <v>44884</v>
      </c>
      <c r="F56" t="s">
        <v>20</v>
      </c>
      <c r="G56" t="s">
        <v>12</v>
      </c>
      <c r="H56" s="4">
        <v>0.55000000000000004</v>
      </c>
      <c r="I56">
        <v>8750</v>
      </c>
      <c r="J56" s="4">
        <f>Append1[[#This Row],[Price per Unit]]*Append1[[#This Row],[Units Sold]]</f>
        <v>4812.5</v>
      </c>
    </row>
    <row r="57" spans="1:10" x14ac:dyDescent="0.35">
      <c r="A57" t="s">
        <v>18</v>
      </c>
      <c r="B57" t="s">
        <v>19</v>
      </c>
      <c r="C57">
        <v>1128299</v>
      </c>
      <c r="D57" s="1">
        <v>44854</v>
      </c>
      <c r="E57" s="1">
        <v>44884</v>
      </c>
      <c r="F57" t="s">
        <v>20</v>
      </c>
      <c r="G57" t="s">
        <v>13</v>
      </c>
      <c r="H57" s="4">
        <v>0.60000000000000009</v>
      </c>
      <c r="I57">
        <v>8750</v>
      </c>
      <c r="J57" s="4">
        <f>Append1[[#This Row],[Price per Unit]]*Append1[[#This Row],[Units Sold]]</f>
        <v>5250.0000000000009</v>
      </c>
    </row>
    <row r="58" spans="1:10" x14ac:dyDescent="0.35">
      <c r="A58" t="s">
        <v>18</v>
      </c>
      <c r="B58" t="s">
        <v>19</v>
      </c>
      <c r="C58">
        <v>1128299</v>
      </c>
      <c r="D58" s="1">
        <v>44854</v>
      </c>
      <c r="E58" s="1">
        <v>44884</v>
      </c>
      <c r="F58" t="s">
        <v>20</v>
      </c>
      <c r="G58" t="s">
        <v>14</v>
      </c>
      <c r="H58" s="4">
        <v>0.55000000000000004</v>
      </c>
      <c r="I58">
        <v>7000</v>
      </c>
      <c r="J58" s="4">
        <f>Append1[[#This Row],[Price per Unit]]*Append1[[#This Row],[Units Sold]]</f>
        <v>3850.0000000000005</v>
      </c>
    </row>
    <row r="59" spans="1:10" x14ac:dyDescent="0.35">
      <c r="A59" t="s">
        <v>18</v>
      </c>
      <c r="B59" t="s">
        <v>19</v>
      </c>
      <c r="C59">
        <v>1128299</v>
      </c>
      <c r="D59" s="1">
        <v>44854</v>
      </c>
      <c r="E59" s="1">
        <v>44884</v>
      </c>
      <c r="F59" t="s">
        <v>20</v>
      </c>
      <c r="G59" t="s">
        <v>15</v>
      </c>
      <c r="H59" s="4">
        <v>0.55000000000000004</v>
      </c>
      <c r="I59">
        <v>6750</v>
      </c>
      <c r="J59" s="4">
        <f>Append1[[#This Row],[Price per Unit]]*Append1[[#This Row],[Units Sold]]</f>
        <v>3712.5000000000005</v>
      </c>
    </row>
    <row r="60" spans="1:10" x14ac:dyDescent="0.35">
      <c r="A60" t="s">
        <v>18</v>
      </c>
      <c r="B60" t="s">
        <v>19</v>
      </c>
      <c r="C60">
        <v>1128299</v>
      </c>
      <c r="D60" s="1">
        <v>44854</v>
      </c>
      <c r="E60" s="1">
        <v>44884</v>
      </c>
      <c r="F60" t="s">
        <v>20</v>
      </c>
      <c r="G60" t="s">
        <v>16</v>
      </c>
      <c r="H60" s="4">
        <v>0.65</v>
      </c>
      <c r="I60">
        <v>6500</v>
      </c>
      <c r="J60" s="4">
        <f>Append1[[#This Row],[Price per Unit]]*Append1[[#This Row],[Units Sold]]</f>
        <v>4225</v>
      </c>
    </row>
    <row r="61" spans="1:10" x14ac:dyDescent="0.35">
      <c r="A61" t="s">
        <v>18</v>
      </c>
      <c r="B61" t="s">
        <v>19</v>
      </c>
      <c r="C61">
        <v>1128299</v>
      </c>
      <c r="D61" s="1">
        <v>44854</v>
      </c>
      <c r="E61" s="1">
        <v>44884</v>
      </c>
      <c r="F61" t="s">
        <v>20</v>
      </c>
      <c r="G61" t="s">
        <v>17</v>
      </c>
      <c r="H61" s="4">
        <v>0.70000000000000007</v>
      </c>
      <c r="I61">
        <v>7000</v>
      </c>
      <c r="J61" s="4">
        <f>Append1[[#This Row],[Price per Unit]]*Append1[[#This Row],[Units Sold]]</f>
        <v>4900.0000000000009</v>
      </c>
    </row>
    <row r="62" spans="1:10" x14ac:dyDescent="0.35">
      <c r="A62" t="s">
        <v>18</v>
      </c>
      <c r="B62" t="s">
        <v>19</v>
      </c>
      <c r="C62">
        <v>1128299</v>
      </c>
      <c r="D62" s="1">
        <v>44885</v>
      </c>
      <c r="E62" s="1">
        <v>44915</v>
      </c>
      <c r="F62" t="s">
        <v>20</v>
      </c>
      <c r="G62" t="s">
        <v>12</v>
      </c>
      <c r="H62" s="4">
        <v>0.55000000000000004</v>
      </c>
      <c r="I62">
        <v>8750</v>
      </c>
      <c r="J62" s="4">
        <f>Append1[[#This Row],[Price per Unit]]*Append1[[#This Row],[Units Sold]]</f>
        <v>4812.5</v>
      </c>
    </row>
    <row r="63" spans="1:10" x14ac:dyDescent="0.35">
      <c r="A63" t="s">
        <v>18</v>
      </c>
      <c r="B63" t="s">
        <v>19</v>
      </c>
      <c r="C63">
        <v>1128299</v>
      </c>
      <c r="D63" s="1">
        <v>44885</v>
      </c>
      <c r="E63" s="1">
        <v>44915</v>
      </c>
      <c r="F63" t="s">
        <v>20</v>
      </c>
      <c r="G63" t="s">
        <v>13</v>
      </c>
      <c r="H63" s="4">
        <v>0.60000000000000009</v>
      </c>
      <c r="I63">
        <v>8750</v>
      </c>
      <c r="J63" s="4">
        <f>Append1[[#This Row],[Price per Unit]]*Append1[[#This Row],[Units Sold]]</f>
        <v>5250.0000000000009</v>
      </c>
    </row>
    <row r="64" spans="1:10" x14ac:dyDescent="0.35">
      <c r="A64" t="s">
        <v>18</v>
      </c>
      <c r="B64" t="s">
        <v>19</v>
      </c>
      <c r="C64">
        <v>1128299</v>
      </c>
      <c r="D64" s="1">
        <v>44885</v>
      </c>
      <c r="E64" s="1">
        <v>44915</v>
      </c>
      <c r="F64" t="s">
        <v>20</v>
      </c>
      <c r="G64" t="s">
        <v>14</v>
      </c>
      <c r="H64" s="4">
        <v>0.55000000000000004</v>
      </c>
      <c r="I64">
        <v>7250</v>
      </c>
      <c r="J64" s="4">
        <f>Append1[[#This Row],[Price per Unit]]*Append1[[#This Row],[Units Sold]]</f>
        <v>3987.5000000000005</v>
      </c>
    </row>
    <row r="65" spans="1:10" x14ac:dyDescent="0.35">
      <c r="A65" t="s">
        <v>18</v>
      </c>
      <c r="B65" t="s">
        <v>19</v>
      </c>
      <c r="C65">
        <v>1128299</v>
      </c>
      <c r="D65" s="1">
        <v>44885</v>
      </c>
      <c r="E65" s="1">
        <v>44915</v>
      </c>
      <c r="F65" t="s">
        <v>20</v>
      </c>
      <c r="G65" t="s">
        <v>15</v>
      </c>
      <c r="H65" s="4">
        <v>0.55000000000000004</v>
      </c>
      <c r="I65">
        <v>7000</v>
      </c>
      <c r="J65" s="4">
        <f>Append1[[#This Row],[Price per Unit]]*Append1[[#This Row],[Units Sold]]</f>
        <v>3850.0000000000005</v>
      </c>
    </row>
    <row r="66" spans="1:10" x14ac:dyDescent="0.35">
      <c r="A66" t="s">
        <v>18</v>
      </c>
      <c r="B66" t="s">
        <v>19</v>
      </c>
      <c r="C66">
        <v>1128299</v>
      </c>
      <c r="D66" s="1">
        <v>44885</v>
      </c>
      <c r="E66" s="1">
        <v>44915</v>
      </c>
      <c r="F66" t="s">
        <v>20</v>
      </c>
      <c r="G66" t="s">
        <v>16</v>
      </c>
      <c r="H66" s="4">
        <v>0.65</v>
      </c>
      <c r="I66">
        <v>6500</v>
      </c>
      <c r="J66" s="4">
        <f>Append1[[#This Row],[Price per Unit]]*Append1[[#This Row],[Units Sold]]</f>
        <v>4225</v>
      </c>
    </row>
    <row r="67" spans="1:10" x14ac:dyDescent="0.35">
      <c r="A67" t="s">
        <v>18</v>
      </c>
      <c r="B67" t="s">
        <v>19</v>
      </c>
      <c r="C67">
        <v>1128299</v>
      </c>
      <c r="D67" s="1">
        <v>44885</v>
      </c>
      <c r="E67" s="1">
        <v>44915</v>
      </c>
      <c r="F67" t="s">
        <v>20</v>
      </c>
      <c r="G67" t="s">
        <v>17</v>
      </c>
      <c r="H67" s="4">
        <v>0.70000000000000007</v>
      </c>
      <c r="I67">
        <v>7750</v>
      </c>
      <c r="J67" s="4">
        <f>Append1[[#This Row],[Price per Unit]]*Append1[[#This Row],[Units Sold]]</f>
        <v>5425.0000000000009</v>
      </c>
    </row>
    <row r="68" spans="1:10" x14ac:dyDescent="0.35">
      <c r="A68" t="s">
        <v>18</v>
      </c>
      <c r="B68" t="s">
        <v>19</v>
      </c>
      <c r="C68">
        <v>1128299</v>
      </c>
      <c r="D68" s="1">
        <v>44914</v>
      </c>
      <c r="E68" s="1">
        <v>44944</v>
      </c>
      <c r="F68" t="s">
        <v>20</v>
      </c>
      <c r="G68" t="s">
        <v>12</v>
      </c>
      <c r="H68" s="4">
        <v>0.55000000000000004</v>
      </c>
      <c r="I68">
        <v>9750</v>
      </c>
      <c r="J68" s="4">
        <f>Append1[[#This Row],[Price per Unit]]*Append1[[#This Row],[Units Sold]]</f>
        <v>5362.5</v>
      </c>
    </row>
    <row r="69" spans="1:10" x14ac:dyDescent="0.35">
      <c r="A69" t="s">
        <v>18</v>
      </c>
      <c r="B69" t="s">
        <v>19</v>
      </c>
      <c r="C69">
        <v>1128299</v>
      </c>
      <c r="D69" s="1">
        <v>44914</v>
      </c>
      <c r="E69" s="1">
        <v>44944</v>
      </c>
      <c r="F69" t="s">
        <v>20</v>
      </c>
      <c r="G69" t="s">
        <v>13</v>
      </c>
      <c r="H69" s="4">
        <v>0.60000000000000009</v>
      </c>
      <c r="I69">
        <v>9750</v>
      </c>
      <c r="J69" s="4">
        <f>Append1[[#This Row],[Price per Unit]]*Append1[[#This Row],[Units Sold]]</f>
        <v>5850.0000000000009</v>
      </c>
    </row>
    <row r="70" spans="1:10" x14ac:dyDescent="0.35">
      <c r="A70" t="s">
        <v>18</v>
      </c>
      <c r="B70" t="s">
        <v>19</v>
      </c>
      <c r="C70">
        <v>1128299</v>
      </c>
      <c r="D70" s="1">
        <v>44914</v>
      </c>
      <c r="E70" s="1">
        <v>44944</v>
      </c>
      <c r="F70" t="s">
        <v>20</v>
      </c>
      <c r="G70" t="s">
        <v>14</v>
      </c>
      <c r="H70" s="4">
        <v>0.55000000000000004</v>
      </c>
      <c r="I70">
        <v>7750</v>
      </c>
      <c r="J70" s="4">
        <f>Append1[[#This Row],[Price per Unit]]*Append1[[#This Row],[Units Sold]]</f>
        <v>4262.5</v>
      </c>
    </row>
    <row r="71" spans="1:10" x14ac:dyDescent="0.35">
      <c r="A71" t="s">
        <v>18</v>
      </c>
      <c r="B71" t="s">
        <v>19</v>
      </c>
      <c r="C71">
        <v>1128299</v>
      </c>
      <c r="D71" s="1">
        <v>44914</v>
      </c>
      <c r="E71" s="1">
        <v>44944</v>
      </c>
      <c r="F71" t="s">
        <v>20</v>
      </c>
      <c r="G71" t="s">
        <v>15</v>
      </c>
      <c r="H71" s="4">
        <v>0.55000000000000004</v>
      </c>
      <c r="I71">
        <v>7750</v>
      </c>
      <c r="J71" s="4">
        <f>Append1[[#This Row],[Price per Unit]]*Append1[[#This Row],[Units Sold]]</f>
        <v>4262.5</v>
      </c>
    </row>
    <row r="72" spans="1:10" x14ac:dyDescent="0.35">
      <c r="A72" t="s">
        <v>18</v>
      </c>
      <c r="B72" t="s">
        <v>19</v>
      </c>
      <c r="C72">
        <v>1128299</v>
      </c>
      <c r="D72" s="1">
        <v>44914</v>
      </c>
      <c r="E72" s="1">
        <v>44944</v>
      </c>
      <c r="F72" t="s">
        <v>20</v>
      </c>
      <c r="G72" t="s">
        <v>16</v>
      </c>
      <c r="H72" s="4">
        <v>0.65</v>
      </c>
      <c r="I72">
        <v>7000</v>
      </c>
      <c r="J72" s="4">
        <f>Append1[[#This Row],[Price per Unit]]*Append1[[#This Row],[Units Sold]]</f>
        <v>4550</v>
      </c>
    </row>
    <row r="73" spans="1:10" x14ac:dyDescent="0.35">
      <c r="A73" t="s">
        <v>18</v>
      </c>
      <c r="B73" t="s">
        <v>19</v>
      </c>
      <c r="C73">
        <v>1128299</v>
      </c>
      <c r="D73" s="1">
        <v>44914</v>
      </c>
      <c r="E73" s="1">
        <v>44944</v>
      </c>
      <c r="F73" t="s">
        <v>20</v>
      </c>
      <c r="G73" t="s">
        <v>17</v>
      </c>
      <c r="H73" s="4">
        <v>0.70000000000000007</v>
      </c>
      <c r="I73">
        <v>8000</v>
      </c>
      <c r="J73" s="4">
        <f>Append1[[#This Row],[Price per Unit]]*Append1[[#This Row],[Units Sold]]</f>
        <v>5600.0000000000009</v>
      </c>
    </row>
    <row r="74" spans="1:10" x14ac:dyDescent="0.35">
      <c r="A74" t="s">
        <v>21</v>
      </c>
      <c r="B74" t="s">
        <v>22</v>
      </c>
      <c r="C74">
        <v>1197831</v>
      </c>
      <c r="D74" s="1">
        <v>44563</v>
      </c>
      <c r="E74" s="1">
        <v>44593</v>
      </c>
      <c r="F74" t="s">
        <v>23</v>
      </c>
      <c r="G74" t="s">
        <v>12</v>
      </c>
      <c r="H74" s="4">
        <v>0.25</v>
      </c>
      <c r="I74">
        <v>9000</v>
      </c>
      <c r="J74" s="4">
        <f>Append1[[#This Row],[Price per Unit]]*Append1[[#This Row],[Units Sold]]</f>
        <v>2250</v>
      </c>
    </row>
    <row r="75" spans="1:10" x14ac:dyDescent="0.35">
      <c r="A75" t="s">
        <v>21</v>
      </c>
      <c r="B75" t="s">
        <v>22</v>
      </c>
      <c r="C75">
        <v>1197831</v>
      </c>
      <c r="D75" s="1">
        <v>44563</v>
      </c>
      <c r="E75" s="1">
        <v>44593</v>
      </c>
      <c r="F75" t="s">
        <v>23</v>
      </c>
      <c r="G75" t="s">
        <v>13</v>
      </c>
      <c r="H75" s="4">
        <v>0.35</v>
      </c>
      <c r="I75">
        <v>9000</v>
      </c>
      <c r="J75" s="4">
        <f>Append1[[#This Row],[Price per Unit]]*Append1[[#This Row],[Units Sold]]</f>
        <v>3150</v>
      </c>
    </row>
    <row r="76" spans="1:10" x14ac:dyDescent="0.35">
      <c r="A76" t="s">
        <v>21</v>
      </c>
      <c r="B76" t="s">
        <v>22</v>
      </c>
      <c r="C76">
        <v>1197831</v>
      </c>
      <c r="D76" s="1">
        <v>44563</v>
      </c>
      <c r="E76" s="1">
        <v>44593</v>
      </c>
      <c r="F76" t="s">
        <v>23</v>
      </c>
      <c r="G76" t="s">
        <v>14</v>
      </c>
      <c r="H76" s="4">
        <v>0.35</v>
      </c>
      <c r="I76">
        <v>7000</v>
      </c>
      <c r="J76" s="4">
        <f>Append1[[#This Row],[Price per Unit]]*Append1[[#This Row],[Units Sold]]</f>
        <v>2450</v>
      </c>
    </row>
    <row r="77" spans="1:10" x14ac:dyDescent="0.35">
      <c r="A77" t="s">
        <v>21</v>
      </c>
      <c r="B77" t="s">
        <v>22</v>
      </c>
      <c r="C77">
        <v>1197831</v>
      </c>
      <c r="D77" s="1">
        <v>44563</v>
      </c>
      <c r="E77" s="1">
        <v>44593</v>
      </c>
      <c r="F77" t="s">
        <v>23</v>
      </c>
      <c r="G77" t="s">
        <v>15</v>
      </c>
      <c r="H77" s="4">
        <v>0.35</v>
      </c>
      <c r="I77">
        <v>7000</v>
      </c>
      <c r="J77" s="4">
        <f>Append1[[#This Row],[Price per Unit]]*Append1[[#This Row],[Units Sold]]</f>
        <v>2450</v>
      </c>
    </row>
    <row r="78" spans="1:10" x14ac:dyDescent="0.35">
      <c r="A78" t="s">
        <v>21</v>
      </c>
      <c r="B78" t="s">
        <v>22</v>
      </c>
      <c r="C78">
        <v>1197831</v>
      </c>
      <c r="D78" s="1">
        <v>44563</v>
      </c>
      <c r="E78" s="1">
        <v>44593</v>
      </c>
      <c r="F78" t="s">
        <v>23</v>
      </c>
      <c r="G78" t="s">
        <v>16</v>
      </c>
      <c r="H78" s="4">
        <v>0.4</v>
      </c>
      <c r="I78">
        <v>5500</v>
      </c>
      <c r="J78" s="4">
        <f>Append1[[#This Row],[Price per Unit]]*Append1[[#This Row],[Units Sold]]</f>
        <v>2200</v>
      </c>
    </row>
    <row r="79" spans="1:10" x14ac:dyDescent="0.35">
      <c r="A79" t="s">
        <v>21</v>
      </c>
      <c r="B79" t="s">
        <v>22</v>
      </c>
      <c r="C79">
        <v>1197831</v>
      </c>
      <c r="D79" s="1">
        <v>44563</v>
      </c>
      <c r="E79" s="1">
        <v>44593</v>
      </c>
      <c r="F79" t="s">
        <v>23</v>
      </c>
      <c r="G79" t="s">
        <v>17</v>
      </c>
      <c r="H79" s="4">
        <v>0.35</v>
      </c>
      <c r="I79">
        <v>7000</v>
      </c>
      <c r="J79" s="4">
        <f>Append1[[#This Row],[Price per Unit]]*Append1[[#This Row],[Units Sold]]</f>
        <v>2450</v>
      </c>
    </row>
    <row r="80" spans="1:10" x14ac:dyDescent="0.35">
      <c r="A80" t="s">
        <v>21</v>
      </c>
      <c r="B80" t="s">
        <v>22</v>
      </c>
      <c r="C80">
        <v>1197831</v>
      </c>
      <c r="D80" s="1">
        <v>44593</v>
      </c>
      <c r="E80" s="1">
        <v>44623</v>
      </c>
      <c r="F80" t="s">
        <v>23</v>
      </c>
      <c r="G80" t="s">
        <v>12</v>
      </c>
      <c r="H80" s="4">
        <v>0.25</v>
      </c>
      <c r="I80">
        <v>8500</v>
      </c>
      <c r="J80" s="4">
        <f>Append1[[#This Row],[Price per Unit]]*Append1[[#This Row],[Units Sold]]</f>
        <v>2125</v>
      </c>
    </row>
    <row r="81" spans="1:10" x14ac:dyDescent="0.35">
      <c r="A81" t="s">
        <v>21</v>
      </c>
      <c r="B81" t="s">
        <v>22</v>
      </c>
      <c r="C81">
        <v>1197831</v>
      </c>
      <c r="D81" s="1">
        <v>44593</v>
      </c>
      <c r="E81" s="1">
        <v>44631</v>
      </c>
      <c r="F81" t="s">
        <v>23</v>
      </c>
      <c r="G81" t="s">
        <v>13</v>
      </c>
      <c r="H81" s="4">
        <v>0.35</v>
      </c>
      <c r="I81">
        <v>8500</v>
      </c>
      <c r="J81" s="4">
        <f>Append1[[#This Row],[Price per Unit]]*Append1[[#This Row],[Units Sold]]</f>
        <v>2975</v>
      </c>
    </row>
    <row r="82" spans="1:10" x14ac:dyDescent="0.35">
      <c r="A82" t="s">
        <v>21</v>
      </c>
      <c r="B82" t="s">
        <v>22</v>
      </c>
      <c r="C82">
        <v>1197831</v>
      </c>
      <c r="D82" s="1">
        <v>44593</v>
      </c>
      <c r="E82" s="1">
        <v>44642</v>
      </c>
      <c r="F82" t="s">
        <v>23</v>
      </c>
      <c r="G82" t="s">
        <v>14</v>
      </c>
      <c r="H82" s="4">
        <v>0.35</v>
      </c>
      <c r="I82">
        <v>6750</v>
      </c>
      <c r="J82" s="4">
        <f>Append1[[#This Row],[Price per Unit]]*Append1[[#This Row],[Units Sold]]</f>
        <v>2362.5</v>
      </c>
    </row>
    <row r="83" spans="1:10" x14ac:dyDescent="0.35">
      <c r="A83" t="s">
        <v>21</v>
      </c>
      <c r="B83" t="s">
        <v>22</v>
      </c>
      <c r="C83">
        <v>1197831</v>
      </c>
      <c r="D83" s="1">
        <v>44593</v>
      </c>
      <c r="E83" s="1">
        <v>44623</v>
      </c>
      <c r="F83" t="s">
        <v>23</v>
      </c>
      <c r="G83" t="s">
        <v>15</v>
      </c>
      <c r="H83" s="4">
        <v>0.35</v>
      </c>
      <c r="I83">
        <v>6250</v>
      </c>
      <c r="J83" s="4">
        <f>Append1[[#This Row],[Price per Unit]]*Append1[[#This Row],[Units Sold]]</f>
        <v>2187.5</v>
      </c>
    </row>
    <row r="84" spans="1:10" x14ac:dyDescent="0.35">
      <c r="A84" t="s">
        <v>21</v>
      </c>
      <c r="B84" t="s">
        <v>22</v>
      </c>
      <c r="C84">
        <v>1197831</v>
      </c>
      <c r="D84" s="1">
        <v>44593</v>
      </c>
      <c r="E84" s="1">
        <v>44623</v>
      </c>
      <c r="F84" t="s">
        <v>23</v>
      </c>
      <c r="G84" t="s">
        <v>16</v>
      </c>
      <c r="H84" s="4">
        <v>0.4</v>
      </c>
      <c r="I84">
        <v>5000</v>
      </c>
      <c r="J84" s="4">
        <f>Append1[[#This Row],[Price per Unit]]*Append1[[#This Row],[Units Sold]]</f>
        <v>2000</v>
      </c>
    </row>
    <row r="85" spans="1:10" x14ac:dyDescent="0.35">
      <c r="A85" t="s">
        <v>21</v>
      </c>
      <c r="B85" t="s">
        <v>22</v>
      </c>
      <c r="C85">
        <v>1197831</v>
      </c>
      <c r="D85" s="1">
        <v>44593</v>
      </c>
      <c r="E85" s="1">
        <v>44623</v>
      </c>
      <c r="F85" t="s">
        <v>23</v>
      </c>
      <c r="G85" t="s">
        <v>17</v>
      </c>
      <c r="H85" s="4">
        <v>0.35</v>
      </c>
      <c r="I85">
        <v>7000</v>
      </c>
      <c r="J85" s="4">
        <f>Append1[[#This Row],[Price per Unit]]*Append1[[#This Row],[Units Sold]]</f>
        <v>2450</v>
      </c>
    </row>
    <row r="86" spans="1:10" x14ac:dyDescent="0.35">
      <c r="A86" t="s">
        <v>21</v>
      </c>
      <c r="B86" t="s">
        <v>22</v>
      </c>
      <c r="C86">
        <v>1197831</v>
      </c>
      <c r="D86" s="1">
        <v>44623</v>
      </c>
      <c r="E86" s="1">
        <v>44653</v>
      </c>
      <c r="F86" t="s">
        <v>23</v>
      </c>
      <c r="G86" t="s">
        <v>12</v>
      </c>
      <c r="H86" s="4">
        <v>0.3</v>
      </c>
      <c r="I86">
        <v>8750</v>
      </c>
      <c r="J86" s="4">
        <f>Append1[[#This Row],[Price per Unit]]*Append1[[#This Row],[Units Sold]]</f>
        <v>2625</v>
      </c>
    </row>
    <row r="87" spans="1:10" x14ac:dyDescent="0.35">
      <c r="A87" t="s">
        <v>21</v>
      </c>
      <c r="B87" t="s">
        <v>22</v>
      </c>
      <c r="C87">
        <v>1197831</v>
      </c>
      <c r="D87" s="1">
        <v>44623</v>
      </c>
      <c r="E87" s="1">
        <v>44653</v>
      </c>
      <c r="F87" t="s">
        <v>23</v>
      </c>
      <c r="G87" t="s">
        <v>13</v>
      </c>
      <c r="H87" s="4">
        <v>0.4</v>
      </c>
      <c r="I87">
        <v>8750</v>
      </c>
      <c r="J87" s="4">
        <f>Append1[[#This Row],[Price per Unit]]*Append1[[#This Row],[Units Sold]]</f>
        <v>3500</v>
      </c>
    </row>
    <row r="88" spans="1:10" x14ac:dyDescent="0.35">
      <c r="A88" t="s">
        <v>21</v>
      </c>
      <c r="B88" t="s">
        <v>22</v>
      </c>
      <c r="C88">
        <v>1197831</v>
      </c>
      <c r="D88" s="1">
        <v>44623</v>
      </c>
      <c r="E88" s="1">
        <v>44653</v>
      </c>
      <c r="F88" t="s">
        <v>23</v>
      </c>
      <c r="G88" t="s">
        <v>14</v>
      </c>
      <c r="H88" s="4">
        <v>0.35</v>
      </c>
      <c r="I88">
        <v>7000</v>
      </c>
      <c r="J88" s="4">
        <f>Append1[[#This Row],[Price per Unit]]*Append1[[#This Row],[Units Sold]]</f>
        <v>2450</v>
      </c>
    </row>
    <row r="89" spans="1:10" x14ac:dyDescent="0.35">
      <c r="A89" t="s">
        <v>21</v>
      </c>
      <c r="B89" t="s">
        <v>22</v>
      </c>
      <c r="C89">
        <v>1197831</v>
      </c>
      <c r="D89" s="1">
        <v>44623</v>
      </c>
      <c r="E89" s="1">
        <v>44653</v>
      </c>
      <c r="F89" t="s">
        <v>23</v>
      </c>
      <c r="G89" t="s">
        <v>15</v>
      </c>
      <c r="H89" s="4">
        <v>0.4</v>
      </c>
      <c r="I89">
        <v>6000</v>
      </c>
      <c r="J89" s="4">
        <f>Append1[[#This Row],[Price per Unit]]*Append1[[#This Row],[Units Sold]]</f>
        <v>2400</v>
      </c>
    </row>
    <row r="90" spans="1:10" x14ac:dyDescent="0.35">
      <c r="A90" t="s">
        <v>21</v>
      </c>
      <c r="B90" t="s">
        <v>22</v>
      </c>
      <c r="C90">
        <v>1197831</v>
      </c>
      <c r="D90" s="1">
        <v>44623</v>
      </c>
      <c r="E90" s="1">
        <v>44653</v>
      </c>
      <c r="F90" t="s">
        <v>23</v>
      </c>
      <c r="G90" t="s">
        <v>16</v>
      </c>
      <c r="H90" s="4">
        <v>0.45</v>
      </c>
      <c r="I90">
        <v>5000</v>
      </c>
      <c r="J90" s="4">
        <f>Append1[[#This Row],[Price per Unit]]*Append1[[#This Row],[Units Sold]]</f>
        <v>2250</v>
      </c>
    </row>
    <row r="91" spans="1:10" x14ac:dyDescent="0.35">
      <c r="A91" t="s">
        <v>21</v>
      </c>
      <c r="B91" t="s">
        <v>22</v>
      </c>
      <c r="C91">
        <v>1197831</v>
      </c>
      <c r="D91" s="1">
        <v>44623</v>
      </c>
      <c r="E91" s="1">
        <v>44653</v>
      </c>
      <c r="F91" t="s">
        <v>23</v>
      </c>
      <c r="G91" t="s">
        <v>17</v>
      </c>
      <c r="H91" s="4">
        <v>0.4</v>
      </c>
      <c r="I91">
        <v>6500</v>
      </c>
      <c r="J91" s="4">
        <f>Append1[[#This Row],[Price per Unit]]*Append1[[#This Row],[Units Sold]]</f>
        <v>2600</v>
      </c>
    </row>
    <row r="92" spans="1:10" x14ac:dyDescent="0.35">
      <c r="A92" t="s">
        <v>21</v>
      </c>
      <c r="B92" t="s">
        <v>22</v>
      </c>
      <c r="C92">
        <v>1197831</v>
      </c>
      <c r="D92" s="1">
        <v>44653</v>
      </c>
      <c r="E92" s="1">
        <v>44683</v>
      </c>
      <c r="F92" t="s">
        <v>23</v>
      </c>
      <c r="G92" t="s">
        <v>12</v>
      </c>
      <c r="H92" s="4">
        <v>0.3</v>
      </c>
      <c r="I92">
        <v>9000</v>
      </c>
      <c r="J92" s="4">
        <f>Append1[[#This Row],[Price per Unit]]*Append1[[#This Row],[Units Sold]]</f>
        <v>2700</v>
      </c>
    </row>
    <row r="93" spans="1:10" x14ac:dyDescent="0.35">
      <c r="A93" t="s">
        <v>21</v>
      </c>
      <c r="B93" t="s">
        <v>22</v>
      </c>
      <c r="C93">
        <v>1197831</v>
      </c>
      <c r="D93" s="1">
        <v>44653</v>
      </c>
      <c r="E93" s="1">
        <v>44683</v>
      </c>
      <c r="F93" t="s">
        <v>23</v>
      </c>
      <c r="G93" t="s">
        <v>13</v>
      </c>
      <c r="H93" s="4">
        <v>0.4</v>
      </c>
      <c r="I93">
        <v>9000</v>
      </c>
      <c r="J93" s="4">
        <f>Append1[[#This Row],[Price per Unit]]*Append1[[#This Row],[Units Sold]]</f>
        <v>3600</v>
      </c>
    </row>
    <row r="94" spans="1:10" x14ac:dyDescent="0.35">
      <c r="A94" t="s">
        <v>21</v>
      </c>
      <c r="B94" t="s">
        <v>22</v>
      </c>
      <c r="C94">
        <v>1197831</v>
      </c>
      <c r="D94" s="1">
        <v>44653</v>
      </c>
      <c r="E94" s="1">
        <v>44683</v>
      </c>
      <c r="F94" t="s">
        <v>23</v>
      </c>
      <c r="G94" t="s">
        <v>14</v>
      </c>
      <c r="H94" s="4">
        <v>0.35</v>
      </c>
      <c r="I94">
        <v>7250</v>
      </c>
      <c r="J94" s="4">
        <f>Append1[[#This Row],[Price per Unit]]*Append1[[#This Row],[Units Sold]]</f>
        <v>2537.5</v>
      </c>
    </row>
    <row r="95" spans="1:10" x14ac:dyDescent="0.35">
      <c r="A95" t="s">
        <v>21</v>
      </c>
      <c r="B95" t="s">
        <v>22</v>
      </c>
      <c r="C95">
        <v>1197831</v>
      </c>
      <c r="D95" s="1">
        <v>44653</v>
      </c>
      <c r="E95" s="1">
        <v>44683</v>
      </c>
      <c r="F95" t="s">
        <v>23</v>
      </c>
      <c r="G95" t="s">
        <v>15</v>
      </c>
      <c r="H95" s="4">
        <v>0.4</v>
      </c>
      <c r="I95">
        <v>6250</v>
      </c>
      <c r="J95" s="4">
        <f>Append1[[#This Row],[Price per Unit]]*Append1[[#This Row],[Units Sold]]</f>
        <v>2500</v>
      </c>
    </row>
    <row r="96" spans="1:10" x14ac:dyDescent="0.35">
      <c r="A96" t="s">
        <v>21</v>
      </c>
      <c r="B96" t="s">
        <v>22</v>
      </c>
      <c r="C96">
        <v>1197831</v>
      </c>
      <c r="D96" s="1">
        <v>44653</v>
      </c>
      <c r="E96" s="1">
        <v>44683</v>
      </c>
      <c r="F96" t="s">
        <v>23</v>
      </c>
      <c r="G96" t="s">
        <v>16</v>
      </c>
      <c r="H96" s="4">
        <v>0.45</v>
      </c>
      <c r="I96">
        <v>5250</v>
      </c>
      <c r="J96" s="4">
        <f>Append1[[#This Row],[Price per Unit]]*Append1[[#This Row],[Units Sold]]</f>
        <v>2362.5</v>
      </c>
    </row>
    <row r="97" spans="1:10" x14ac:dyDescent="0.35">
      <c r="A97" t="s">
        <v>21</v>
      </c>
      <c r="B97" t="s">
        <v>22</v>
      </c>
      <c r="C97">
        <v>1197831</v>
      </c>
      <c r="D97" s="1">
        <v>44653</v>
      </c>
      <c r="E97" s="1">
        <v>44683</v>
      </c>
      <c r="F97" t="s">
        <v>23</v>
      </c>
      <c r="G97" t="s">
        <v>17</v>
      </c>
      <c r="H97" s="4">
        <v>0.4</v>
      </c>
      <c r="I97">
        <v>8000</v>
      </c>
      <c r="J97" s="4">
        <f>Append1[[#This Row],[Price per Unit]]*Append1[[#This Row],[Units Sold]]</f>
        <v>3200</v>
      </c>
    </row>
    <row r="98" spans="1:10" x14ac:dyDescent="0.35">
      <c r="A98" t="s">
        <v>21</v>
      </c>
      <c r="B98" t="s">
        <v>22</v>
      </c>
      <c r="C98">
        <v>1197831</v>
      </c>
      <c r="D98" s="1">
        <v>44683</v>
      </c>
      <c r="E98" s="1">
        <v>44713</v>
      </c>
      <c r="F98" t="s">
        <v>23</v>
      </c>
      <c r="G98" t="s">
        <v>12</v>
      </c>
      <c r="H98" s="4">
        <v>0.3</v>
      </c>
      <c r="I98">
        <v>9250</v>
      </c>
      <c r="J98" s="4">
        <f>Append1[[#This Row],[Price per Unit]]*Append1[[#This Row],[Units Sold]]</f>
        <v>2775</v>
      </c>
    </row>
    <row r="99" spans="1:10" x14ac:dyDescent="0.35">
      <c r="A99" t="s">
        <v>21</v>
      </c>
      <c r="B99" t="s">
        <v>22</v>
      </c>
      <c r="C99">
        <v>1197831</v>
      </c>
      <c r="D99" s="1">
        <v>44683</v>
      </c>
      <c r="E99" s="1">
        <v>44713</v>
      </c>
      <c r="F99" t="s">
        <v>23</v>
      </c>
      <c r="G99" t="s">
        <v>13</v>
      </c>
      <c r="H99" s="4">
        <v>0.4</v>
      </c>
      <c r="I99">
        <v>9250</v>
      </c>
      <c r="J99" s="4">
        <f>Append1[[#This Row],[Price per Unit]]*Append1[[#This Row],[Units Sold]]</f>
        <v>3700</v>
      </c>
    </row>
    <row r="100" spans="1:10" x14ac:dyDescent="0.35">
      <c r="A100" t="s">
        <v>21</v>
      </c>
      <c r="B100" t="s">
        <v>22</v>
      </c>
      <c r="C100">
        <v>1197831</v>
      </c>
      <c r="D100" s="1">
        <v>44683</v>
      </c>
      <c r="E100" s="1">
        <v>44713</v>
      </c>
      <c r="F100" t="s">
        <v>23</v>
      </c>
      <c r="G100" t="s">
        <v>14</v>
      </c>
      <c r="H100" s="4">
        <v>0.35</v>
      </c>
      <c r="I100">
        <v>7750</v>
      </c>
      <c r="J100" s="4">
        <f>Append1[[#This Row],[Price per Unit]]*Append1[[#This Row],[Units Sold]]</f>
        <v>2712.5</v>
      </c>
    </row>
    <row r="101" spans="1:10" x14ac:dyDescent="0.35">
      <c r="A101" t="s">
        <v>21</v>
      </c>
      <c r="B101" t="s">
        <v>22</v>
      </c>
      <c r="C101">
        <v>1197831</v>
      </c>
      <c r="D101" s="1">
        <v>44683</v>
      </c>
      <c r="E101" s="1">
        <v>44713</v>
      </c>
      <c r="F101" t="s">
        <v>23</v>
      </c>
      <c r="G101" t="s">
        <v>15</v>
      </c>
      <c r="H101" s="4">
        <v>0.4</v>
      </c>
      <c r="I101">
        <v>7000</v>
      </c>
      <c r="J101" s="4">
        <f>Append1[[#This Row],[Price per Unit]]*Append1[[#This Row],[Units Sold]]</f>
        <v>2800</v>
      </c>
    </row>
    <row r="102" spans="1:10" x14ac:dyDescent="0.35">
      <c r="A102" t="s">
        <v>21</v>
      </c>
      <c r="B102" t="s">
        <v>22</v>
      </c>
      <c r="C102">
        <v>1197831</v>
      </c>
      <c r="D102" s="1">
        <v>44683</v>
      </c>
      <c r="E102" s="1">
        <v>44713</v>
      </c>
      <c r="F102" t="s">
        <v>23</v>
      </c>
      <c r="G102" t="s">
        <v>16</v>
      </c>
      <c r="H102" s="4">
        <v>0.45</v>
      </c>
      <c r="I102">
        <v>6000</v>
      </c>
      <c r="J102" s="4">
        <f>Append1[[#This Row],[Price per Unit]]*Append1[[#This Row],[Units Sold]]</f>
        <v>2700</v>
      </c>
    </row>
    <row r="103" spans="1:10" x14ac:dyDescent="0.35">
      <c r="A103" t="s">
        <v>21</v>
      </c>
      <c r="B103" t="s">
        <v>22</v>
      </c>
      <c r="C103">
        <v>1197831</v>
      </c>
      <c r="D103" s="1">
        <v>44683</v>
      </c>
      <c r="E103" s="1">
        <v>44713</v>
      </c>
      <c r="F103" t="s">
        <v>23</v>
      </c>
      <c r="G103" t="s">
        <v>17</v>
      </c>
      <c r="H103" s="4">
        <v>0.4</v>
      </c>
      <c r="I103">
        <v>9500</v>
      </c>
      <c r="J103" s="4">
        <f>Append1[[#This Row],[Price per Unit]]*Append1[[#This Row],[Units Sold]]</f>
        <v>3800</v>
      </c>
    </row>
    <row r="104" spans="1:10" x14ac:dyDescent="0.35">
      <c r="A104" t="s">
        <v>21</v>
      </c>
      <c r="B104" t="s">
        <v>22</v>
      </c>
      <c r="C104">
        <v>1197831</v>
      </c>
      <c r="D104" s="1">
        <v>44713</v>
      </c>
      <c r="E104" s="1">
        <v>44743</v>
      </c>
      <c r="F104" t="s">
        <v>23</v>
      </c>
      <c r="G104" t="s">
        <v>12</v>
      </c>
      <c r="H104" s="4">
        <v>0.4</v>
      </c>
      <c r="I104">
        <v>9500</v>
      </c>
      <c r="J104" s="4">
        <f>Append1[[#This Row],[Price per Unit]]*Append1[[#This Row],[Units Sold]]</f>
        <v>3800</v>
      </c>
    </row>
    <row r="105" spans="1:10" x14ac:dyDescent="0.35">
      <c r="A105" t="s">
        <v>21</v>
      </c>
      <c r="B105" t="s">
        <v>22</v>
      </c>
      <c r="C105">
        <v>1197831</v>
      </c>
      <c r="D105" s="1">
        <v>44713</v>
      </c>
      <c r="E105" s="1">
        <v>44743</v>
      </c>
      <c r="F105" t="s">
        <v>23</v>
      </c>
      <c r="G105" t="s">
        <v>13</v>
      </c>
      <c r="H105" s="4">
        <v>0.45</v>
      </c>
      <c r="I105">
        <v>9500</v>
      </c>
      <c r="J105" s="4">
        <f>Append1[[#This Row],[Price per Unit]]*Append1[[#This Row],[Units Sold]]</f>
        <v>4275</v>
      </c>
    </row>
    <row r="106" spans="1:10" x14ac:dyDescent="0.35">
      <c r="A106" t="s">
        <v>21</v>
      </c>
      <c r="B106" t="s">
        <v>22</v>
      </c>
      <c r="C106">
        <v>1197831</v>
      </c>
      <c r="D106" s="1">
        <v>44713</v>
      </c>
      <c r="E106" s="1">
        <v>44743</v>
      </c>
      <c r="F106" t="s">
        <v>23</v>
      </c>
      <c r="G106" t="s">
        <v>14</v>
      </c>
      <c r="H106" s="4">
        <v>0.4</v>
      </c>
      <c r="I106">
        <v>8000</v>
      </c>
      <c r="J106" s="4">
        <f>Append1[[#This Row],[Price per Unit]]*Append1[[#This Row],[Units Sold]]</f>
        <v>3200</v>
      </c>
    </row>
    <row r="107" spans="1:10" x14ac:dyDescent="0.35">
      <c r="A107" t="s">
        <v>21</v>
      </c>
      <c r="B107" t="s">
        <v>22</v>
      </c>
      <c r="C107">
        <v>1197831</v>
      </c>
      <c r="D107" s="1">
        <v>44713</v>
      </c>
      <c r="E107" s="1">
        <v>44743</v>
      </c>
      <c r="F107" t="s">
        <v>23</v>
      </c>
      <c r="G107" t="s">
        <v>15</v>
      </c>
      <c r="H107" s="4">
        <v>0.4</v>
      </c>
      <c r="I107">
        <v>7500</v>
      </c>
      <c r="J107" s="4">
        <f>Append1[[#This Row],[Price per Unit]]*Append1[[#This Row],[Units Sold]]</f>
        <v>3000</v>
      </c>
    </row>
    <row r="108" spans="1:10" x14ac:dyDescent="0.35">
      <c r="A108" t="s">
        <v>21</v>
      </c>
      <c r="B108" t="s">
        <v>22</v>
      </c>
      <c r="C108">
        <v>1197831</v>
      </c>
      <c r="D108" s="1">
        <v>44713</v>
      </c>
      <c r="E108" s="1">
        <v>44743</v>
      </c>
      <c r="F108" t="s">
        <v>23</v>
      </c>
      <c r="G108" t="s">
        <v>16</v>
      </c>
      <c r="H108" s="4">
        <v>0.45</v>
      </c>
      <c r="I108">
        <v>6500</v>
      </c>
      <c r="J108" s="4">
        <f>Append1[[#This Row],[Price per Unit]]*Append1[[#This Row],[Units Sold]]</f>
        <v>2925</v>
      </c>
    </row>
    <row r="109" spans="1:10" x14ac:dyDescent="0.35">
      <c r="A109" t="s">
        <v>21</v>
      </c>
      <c r="B109" t="s">
        <v>22</v>
      </c>
      <c r="C109">
        <v>1197831</v>
      </c>
      <c r="D109" s="1">
        <v>44713</v>
      </c>
      <c r="E109" s="1">
        <v>44743</v>
      </c>
      <c r="F109" t="s">
        <v>23</v>
      </c>
      <c r="G109" t="s">
        <v>17</v>
      </c>
      <c r="H109" s="4">
        <v>0.5</v>
      </c>
      <c r="I109">
        <v>10000</v>
      </c>
      <c r="J109" s="4">
        <f>Append1[[#This Row],[Price per Unit]]*Append1[[#This Row],[Units Sold]]</f>
        <v>5000</v>
      </c>
    </row>
    <row r="110" spans="1:10" x14ac:dyDescent="0.35">
      <c r="A110" t="s">
        <v>21</v>
      </c>
      <c r="B110" t="s">
        <v>22</v>
      </c>
      <c r="C110">
        <v>1197831</v>
      </c>
      <c r="D110" s="1">
        <v>44745</v>
      </c>
      <c r="E110" s="1">
        <v>44775</v>
      </c>
      <c r="F110" t="s">
        <v>23</v>
      </c>
      <c r="G110" t="s">
        <v>12</v>
      </c>
      <c r="H110" s="4">
        <v>0.4</v>
      </c>
      <c r="I110">
        <v>9500</v>
      </c>
      <c r="J110" s="4">
        <f>Append1[[#This Row],[Price per Unit]]*Append1[[#This Row],[Units Sold]]</f>
        <v>3800</v>
      </c>
    </row>
    <row r="111" spans="1:10" x14ac:dyDescent="0.35">
      <c r="A111" t="s">
        <v>21</v>
      </c>
      <c r="B111" t="s">
        <v>22</v>
      </c>
      <c r="C111">
        <v>1197831</v>
      </c>
      <c r="D111" s="1">
        <v>44745</v>
      </c>
      <c r="E111" s="1">
        <v>44775</v>
      </c>
      <c r="F111" t="s">
        <v>23</v>
      </c>
      <c r="G111" t="s">
        <v>13</v>
      </c>
      <c r="H111" s="4">
        <v>0.45</v>
      </c>
      <c r="I111">
        <v>9500</v>
      </c>
      <c r="J111" s="4">
        <f>Append1[[#This Row],[Price per Unit]]*Append1[[#This Row],[Units Sold]]</f>
        <v>4275</v>
      </c>
    </row>
    <row r="112" spans="1:10" x14ac:dyDescent="0.35">
      <c r="A112" t="s">
        <v>21</v>
      </c>
      <c r="B112" t="s">
        <v>22</v>
      </c>
      <c r="C112">
        <v>1197831</v>
      </c>
      <c r="D112" s="1">
        <v>44745</v>
      </c>
      <c r="E112" s="1">
        <v>44775</v>
      </c>
      <c r="F112" t="s">
        <v>23</v>
      </c>
      <c r="G112" t="s">
        <v>14</v>
      </c>
      <c r="H112" s="4">
        <v>0.4</v>
      </c>
      <c r="I112">
        <v>11000</v>
      </c>
      <c r="J112" s="4">
        <f>Append1[[#This Row],[Price per Unit]]*Append1[[#This Row],[Units Sold]]</f>
        <v>4400</v>
      </c>
    </row>
    <row r="113" spans="1:10" x14ac:dyDescent="0.35">
      <c r="A113" t="s">
        <v>21</v>
      </c>
      <c r="B113" t="s">
        <v>22</v>
      </c>
      <c r="C113">
        <v>1197831</v>
      </c>
      <c r="D113" s="1">
        <v>44745</v>
      </c>
      <c r="E113" s="1">
        <v>44775</v>
      </c>
      <c r="F113" t="s">
        <v>23</v>
      </c>
      <c r="G113" t="s">
        <v>15</v>
      </c>
      <c r="H113" s="4">
        <v>0.4</v>
      </c>
      <c r="I113">
        <v>7000</v>
      </c>
      <c r="J113" s="4">
        <f>Append1[[#This Row],[Price per Unit]]*Append1[[#This Row],[Units Sold]]</f>
        <v>2800</v>
      </c>
    </row>
    <row r="114" spans="1:10" x14ac:dyDescent="0.35">
      <c r="A114" t="s">
        <v>21</v>
      </c>
      <c r="B114" t="s">
        <v>22</v>
      </c>
      <c r="C114">
        <v>1197831</v>
      </c>
      <c r="D114" s="1">
        <v>44745</v>
      </c>
      <c r="E114" s="1">
        <v>44775</v>
      </c>
      <c r="F114" t="s">
        <v>23</v>
      </c>
      <c r="G114" t="s">
        <v>16</v>
      </c>
      <c r="H114" s="4">
        <v>0.45</v>
      </c>
      <c r="I114">
        <v>7000</v>
      </c>
      <c r="J114" s="4">
        <f>Append1[[#This Row],[Price per Unit]]*Append1[[#This Row],[Units Sold]]</f>
        <v>3150</v>
      </c>
    </row>
    <row r="115" spans="1:10" x14ac:dyDescent="0.35">
      <c r="A115" t="s">
        <v>21</v>
      </c>
      <c r="B115" t="s">
        <v>22</v>
      </c>
      <c r="C115">
        <v>1197831</v>
      </c>
      <c r="D115" s="1">
        <v>44745</v>
      </c>
      <c r="E115" s="1">
        <v>44775</v>
      </c>
      <c r="F115" t="s">
        <v>23</v>
      </c>
      <c r="G115" t="s">
        <v>17</v>
      </c>
      <c r="H115" s="4">
        <v>0.5</v>
      </c>
      <c r="I115">
        <v>9750</v>
      </c>
      <c r="J115" s="4">
        <f>Append1[[#This Row],[Price per Unit]]*Append1[[#This Row],[Units Sold]]</f>
        <v>4875</v>
      </c>
    </row>
    <row r="116" spans="1:10" x14ac:dyDescent="0.35">
      <c r="A116" t="s">
        <v>21</v>
      </c>
      <c r="B116" t="s">
        <v>22</v>
      </c>
      <c r="C116">
        <v>1197831</v>
      </c>
      <c r="D116" s="1">
        <v>44778</v>
      </c>
      <c r="E116" s="1">
        <v>44808</v>
      </c>
      <c r="F116" t="s">
        <v>23</v>
      </c>
      <c r="G116" t="s">
        <v>12</v>
      </c>
      <c r="H116" s="4">
        <v>0.4</v>
      </c>
      <c r="I116">
        <v>9250</v>
      </c>
      <c r="J116" s="4">
        <f>Append1[[#This Row],[Price per Unit]]*Append1[[#This Row],[Units Sold]]</f>
        <v>3700</v>
      </c>
    </row>
    <row r="117" spans="1:10" x14ac:dyDescent="0.35">
      <c r="A117" t="s">
        <v>21</v>
      </c>
      <c r="B117" t="s">
        <v>22</v>
      </c>
      <c r="C117">
        <v>1197831</v>
      </c>
      <c r="D117" s="1">
        <v>44778</v>
      </c>
      <c r="E117" s="1">
        <v>44808</v>
      </c>
      <c r="F117" t="s">
        <v>23</v>
      </c>
      <c r="G117" t="s">
        <v>13</v>
      </c>
      <c r="H117" s="4">
        <v>0.45</v>
      </c>
      <c r="I117">
        <v>9250</v>
      </c>
      <c r="J117" s="4">
        <f>Append1[[#This Row],[Price per Unit]]*Append1[[#This Row],[Units Sold]]</f>
        <v>4162.5</v>
      </c>
    </row>
    <row r="118" spans="1:10" x14ac:dyDescent="0.35">
      <c r="A118" t="s">
        <v>21</v>
      </c>
      <c r="B118" t="s">
        <v>22</v>
      </c>
      <c r="C118">
        <v>1197831</v>
      </c>
      <c r="D118" s="1">
        <v>44778</v>
      </c>
      <c r="E118" s="1">
        <v>44808</v>
      </c>
      <c r="F118" t="s">
        <v>23</v>
      </c>
      <c r="G118" t="s">
        <v>14</v>
      </c>
      <c r="H118" s="4">
        <v>0.4</v>
      </c>
      <c r="I118">
        <v>11000</v>
      </c>
      <c r="J118" s="4">
        <f>Append1[[#This Row],[Price per Unit]]*Append1[[#This Row],[Units Sold]]</f>
        <v>4400</v>
      </c>
    </row>
    <row r="119" spans="1:10" x14ac:dyDescent="0.35">
      <c r="A119" t="s">
        <v>21</v>
      </c>
      <c r="B119" t="s">
        <v>22</v>
      </c>
      <c r="C119">
        <v>1197831</v>
      </c>
      <c r="D119" s="1">
        <v>44778</v>
      </c>
      <c r="E119" s="1">
        <v>44808</v>
      </c>
      <c r="F119" t="s">
        <v>23</v>
      </c>
      <c r="G119" t="s">
        <v>15</v>
      </c>
      <c r="H119" s="4">
        <v>0.4</v>
      </c>
      <c r="I119">
        <v>6500</v>
      </c>
      <c r="J119" s="4">
        <f>Append1[[#This Row],[Price per Unit]]*Append1[[#This Row],[Units Sold]]</f>
        <v>2600</v>
      </c>
    </row>
    <row r="120" spans="1:10" x14ac:dyDescent="0.35">
      <c r="A120" t="s">
        <v>21</v>
      </c>
      <c r="B120" t="s">
        <v>22</v>
      </c>
      <c r="C120">
        <v>1197831</v>
      </c>
      <c r="D120" s="1">
        <v>44778</v>
      </c>
      <c r="E120" s="1">
        <v>44808</v>
      </c>
      <c r="F120" t="s">
        <v>23</v>
      </c>
      <c r="G120" t="s">
        <v>16</v>
      </c>
      <c r="H120" s="4">
        <v>0.45</v>
      </c>
      <c r="I120">
        <v>6500</v>
      </c>
      <c r="J120" s="4">
        <f>Append1[[#This Row],[Price per Unit]]*Append1[[#This Row],[Units Sold]]</f>
        <v>2925</v>
      </c>
    </row>
    <row r="121" spans="1:10" x14ac:dyDescent="0.35">
      <c r="A121" t="s">
        <v>21</v>
      </c>
      <c r="B121" t="s">
        <v>22</v>
      </c>
      <c r="C121">
        <v>1197831</v>
      </c>
      <c r="D121" s="1">
        <v>44778</v>
      </c>
      <c r="E121" s="1">
        <v>44808</v>
      </c>
      <c r="F121" t="s">
        <v>23</v>
      </c>
      <c r="G121" t="s">
        <v>17</v>
      </c>
      <c r="H121" s="4">
        <v>0.5</v>
      </c>
      <c r="I121">
        <v>9000</v>
      </c>
      <c r="J121" s="4">
        <f>Append1[[#This Row],[Price per Unit]]*Append1[[#This Row],[Units Sold]]</f>
        <v>4500</v>
      </c>
    </row>
    <row r="122" spans="1:10" x14ac:dyDescent="0.35">
      <c r="A122" t="s">
        <v>21</v>
      </c>
      <c r="B122" t="s">
        <v>22</v>
      </c>
      <c r="C122">
        <v>1197831</v>
      </c>
      <c r="D122" s="1">
        <v>44806</v>
      </c>
      <c r="E122" s="1">
        <v>44836</v>
      </c>
      <c r="F122" t="s">
        <v>23</v>
      </c>
      <c r="G122" t="s">
        <v>12</v>
      </c>
      <c r="H122" s="4">
        <v>0.45</v>
      </c>
      <c r="I122">
        <v>8500</v>
      </c>
      <c r="J122" s="4">
        <f>Append1[[#This Row],[Price per Unit]]*Append1[[#This Row],[Units Sold]]</f>
        <v>3825</v>
      </c>
    </row>
    <row r="123" spans="1:10" x14ac:dyDescent="0.35">
      <c r="A123" t="s">
        <v>21</v>
      </c>
      <c r="B123" t="s">
        <v>22</v>
      </c>
      <c r="C123">
        <v>1197831</v>
      </c>
      <c r="D123" s="1">
        <v>44806</v>
      </c>
      <c r="E123" s="1">
        <v>44836</v>
      </c>
      <c r="F123" t="s">
        <v>23</v>
      </c>
      <c r="G123" t="s">
        <v>13</v>
      </c>
      <c r="H123" s="4">
        <v>0.45</v>
      </c>
      <c r="I123">
        <v>8500</v>
      </c>
      <c r="J123" s="4">
        <f>Append1[[#This Row],[Price per Unit]]*Append1[[#This Row],[Units Sold]]</f>
        <v>3825</v>
      </c>
    </row>
    <row r="124" spans="1:10" x14ac:dyDescent="0.35">
      <c r="A124" t="s">
        <v>21</v>
      </c>
      <c r="B124" t="s">
        <v>22</v>
      </c>
      <c r="C124">
        <v>1197831</v>
      </c>
      <c r="D124" s="1">
        <v>44806</v>
      </c>
      <c r="E124" s="1">
        <v>44836</v>
      </c>
      <c r="F124" t="s">
        <v>23</v>
      </c>
      <c r="G124" t="s">
        <v>14</v>
      </c>
      <c r="H124" s="4">
        <v>0.5</v>
      </c>
      <c r="I124">
        <v>9000</v>
      </c>
      <c r="J124" s="4">
        <f>Append1[[#This Row],[Price per Unit]]*Append1[[#This Row],[Units Sold]]</f>
        <v>4500</v>
      </c>
    </row>
    <row r="125" spans="1:10" x14ac:dyDescent="0.35">
      <c r="A125" t="s">
        <v>21</v>
      </c>
      <c r="B125" t="s">
        <v>22</v>
      </c>
      <c r="C125">
        <v>1197831</v>
      </c>
      <c r="D125" s="1">
        <v>44806</v>
      </c>
      <c r="E125" s="1">
        <v>44836</v>
      </c>
      <c r="F125" t="s">
        <v>23</v>
      </c>
      <c r="G125" t="s">
        <v>15</v>
      </c>
      <c r="H125" s="4">
        <v>0.5</v>
      </c>
      <c r="I125">
        <v>6250</v>
      </c>
      <c r="J125" s="4">
        <f>Append1[[#This Row],[Price per Unit]]*Append1[[#This Row],[Units Sold]]</f>
        <v>3125</v>
      </c>
    </row>
    <row r="126" spans="1:10" x14ac:dyDescent="0.35">
      <c r="A126" t="s">
        <v>21</v>
      </c>
      <c r="B126" t="s">
        <v>22</v>
      </c>
      <c r="C126">
        <v>1197831</v>
      </c>
      <c r="D126" s="1">
        <v>44806</v>
      </c>
      <c r="E126" s="1">
        <v>44836</v>
      </c>
      <c r="F126" t="s">
        <v>23</v>
      </c>
      <c r="G126" t="s">
        <v>16</v>
      </c>
      <c r="H126" s="4">
        <v>0.45</v>
      </c>
      <c r="I126">
        <v>6250</v>
      </c>
      <c r="J126" s="4">
        <f>Append1[[#This Row],[Price per Unit]]*Append1[[#This Row],[Units Sold]]</f>
        <v>2812.5</v>
      </c>
    </row>
    <row r="127" spans="1:10" x14ac:dyDescent="0.35">
      <c r="A127" t="s">
        <v>21</v>
      </c>
      <c r="B127" t="s">
        <v>22</v>
      </c>
      <c r="C127">
        <v>1197831</v>
      </c>
      <c r="D127" s="1">
        <v>44806</v>
      </c>
      <c r="E127" s="1">
        <v>44836</v>
      </c>
      <c r="F127" t="s">
        <v>23</v>
      </c>
      <c r="G127" t="s">
        <v>17</v>
      </c>
      <c r="H127" s="4">
        <v>0.55000000000000004</v>
      </c>
      <c r="I127">
        <v>8500</v>
      </c>
      <c r="J127" s="4">
        <f>Append1[[#This Row],[Price per Unit]]*Append1[[#This Row],[Units Sold]]</f>
        <v>4675</v>
      </c>
    </row>
    <row r="128" spans="1:10" x14ac:dyDescent="0.35">
      <c r="A128" t="s">
        <v>21</v>
      </c>
      <c r="B128" t="s">
        <v>22</v>
      </c>
      <c r="C128">
        <v>1197831</v>
      </c>
      <c r="D128" s="1">
        <v>44835</v>
      </c>
      <c r="E128" s="1">
        <v>44865</v>
      </c>
      <c r="F128" t="s">
        <v>23</v>
      </c>
      <c r="G128" t="s">
        <v>12</v>
      </c>
      <c r="H128" s="4">
        <v>0.45</v>
      </c>
      <c r="I128">
        <v>8000</v>
      </c>
      <c r="J128" s="4">
        <f>Append1[[#This Row],[Price per Unit]]*Append1[[#This Row],[Units Sold]]</f>
        <v>3600</v>
      </c>
    </row>
    <row r="129" spans="1:10" x14ac:dyDescent="0.35">
      <c r="A129" t="s">
        <v>21</v>
      </c>
      <c r="B129" t="s">
        <v>22</v>
      </c>
      <c r="C129">
        <v>1197831</v>
      </c>
      <c r="D129" s="1">
        <v>44835</v>
      </c>
      <c r="E129" s="1">
        <v>44865</v>
      </c>
      <c r="F129" t="s">
        <v>23</v>
      </c>
      <c r="G129" t="s">
        <v>13</v>
      </c>
      <c r="H129" s="4">
        <v>0.45</v>
      </c>
      <c r="I129">
        <v>8000</v>
      </c>
      <c r="J129" s="4">
        <f>Append1[[#This Row],[Price per Unit]]*Append1[[#This Row],[Units Sold]]</f>
        <v>3600</v>
      </c>
    </row>
    <row r="130" spans="1:10" x14ac:dyDescent="0.35">
      <c r="A130" t="s">
        <v>21</v>
      </c>
      <c r="B130" t="s">
        <v>22</v>
      </c>
      <c r="C130">
        <v>1197831</v>
      </c>
      <c r="D130" s="1">
        <v>44835</v>
      </c>
      <c r="E130" s="1">
        <v>44865</v>
      </c>
      <c r="F130" t="s">
        <v>23</v>
      </c>
      <c r="G130" t="s">
        <v>14</v>
      </c>
      <c r="H130" s="4">
        <v>0.5</v>
      </c>
      <c r="I130">
        <v>7500</v>
      </c>
      <c r="J130" s="4">
        <f>Append1[[#This Row],[Price per Unit]]*Append1[[#This Row],[Units Sold]]</f>
        <v>3750</v>
      </c>
    </row>
    <row r="131" spans="1:10" x14ac:dyDescent="0.35">
      <c r="A131" t="s">
        <v>21</v>
      </c>
      <c r="B131" t="s">
        <v>22</v>
      </c>
      <c r="C131">
        <v>1197831</v>
      </c>
      <c r="D131" s="1">
        <v>44835</v>
      </c>
      <c r="E131" s="1">
        <v>44865</v>
      </c>
      <c r="F131" t="s">
        <v>23</v>
      </c>
      <c r="G131" t="s">
        <v>15</v>
      </c>
      <c r="H131" s="4">
        <v>0.5</v>
      </c>
      <c r="I131">
        <v>6000</v>
      </c>
      <c r="J131" s="4">
        <f>Append1[[#This Row],[Price per Unit]]*Append1[[#This Row],[Units Sold]]</f>
        <v>3000</v>
      </c>
    </row>
    <row r="132" spans="1:10" x14ac:dyDescent="0.35">
      <c r="A132" t="s">
        <v>21</v>
      </c>
      <c r="B132" t="s">
        <v>22</v>
      </c>
      <c r="C132">
        <v>1197831</v>
      </c>
      <c r="D132" s="1">
        <v>44835</v>
      </c>
      <c r="E132" s="1">
        <v>44865</v>
      </c>
      <c r="F132" t="s">
        <v>23</v>
      </c>
      <c r="G132" t="s">
        <v>16</v>
      </c>
      <c r="H132" s="4">
        <v>0.45</v>
      </c>
      <c r="I132">
        <v>5750</v>
      </c>
      <c r="J132" s="4">
        <f>Append1[[#This Row],[Price per Unit]]*Append1[[#This Row],[Units Sold]]</f>
        <v>2587.5</v>
      </c>
    </row>
    <row r="133" spans="1:10" x14ac:dyDescent="0.35">
      <c r="A133" t="s">
        <v>21</v>
      </c>
      <c r="B133" t="s">
        <v>22</v>
      </c>
      <c r="C133">
        <v>1197831</v>
      </c>
      <c r="D133" s="1">
        <v>44835</v>
      </c>
      <c r="E133" s="1">
        <v>44865</v>
      </c>
      <c r="F133" t="s">
        <v>23</v>
      </c>
      <c r="G133" t="s">
        <v>17</v>
      </c>
      <c r="H133" s="4">
        <v>0.55000000000000004</v>
      </c>
      <c r="I133">
        <v>7500</v>
      </c>
      <c r="J133" s="4">
        <f>Append1[[#This Row],[Price per Unit]]*Append1[[#This Row],[Units Sold]]</f>
        <v>4125</v>
      </c>
    </row>
    <row r="134" spans="1:10" x14ac:dyDescent="0.35">
      <c r="A134" t="s">
        <v>21</v>
      </c>
      <c r="B134" t="s">
        <v>22</v>
      </c>
      <c r="C134">
        <v>1197831</v>
      </c>
      <c r="D134" s="1">
        <v>44867</v>
      </c>
      <c r="E134" s="1">
        <v>44897</v>
      </c>
      <c r="F134" t="s">
        <v>23</v>
      </c>
      <c r="G134" t="s">
        <v>12</v>
      </c>
      <c r="H134" s="4">
        <v>0.45</v>
      </c>
      <c r="I134">
        <v>9000</v>
      </c>
      <c r="J134" s="4">
        <f>Append1[[#This Row],[Price per Unit]]*Append1[[#This Row],[Units Sold]]</f>
        <v>4050</v>
      </c>
    </row>
    <row r="135" spans="1:10" x14ac:dyDescent="0.35">
      <c r="A135" t="s">
        <v>21</v>
      </c>
      <c r="B135" t="s">
        <v>22</v>
      </c>
      <c r="C135">
        <v>1197831</v>
      </c>
      <c r="D135" s="1">
        <v>44867</v>
      </c>
      <c r="E135" s="1">
        <v>44897</v>
      </c>
      <c r="F135" t="s">
        <v>23</v>
      </c>
      <c r="G135" t="s">
        <v>13</v>
      </c>
      <c r="H135" s="4">
        <v>0.45</v>
      </c>
      <c r="I135">
        <v>9000</v>
      </c>
      <c r="J135" s="4">
        <f>Append1[[#This Row],[Price per Unit]]*Append1[[#This Row],[Units Sold]]</f>
        <v>4050</v>
      </c>
    </row>
    <row r="136" spans="1:10" x14ac:dyDescent="0.35">
      <c r="A136" t="s">
        <v>21</v>
      </c>
      <c r="B136" t="s">
        <v>22</v>
      </c>
      <c r="C136">
        <v>1197831</v>
      </c>
      <c r="D136" s="1">
        <v>44867</v>
      </c>
      <c r="E136" s="1">
        <v>44897</v>
      </c>
      <c r="F136" t="s">
        <v>23</v>
      </c>
      <c r="G136" t="s">
        <v>14</v>
      </c>
      <c r="H136" s="4">
        <v>0.5</v>
      </c>
      <c r="I136">
        <v>8250</v>
      </c>
      <c r="J136" s="4">
        <f>Append1[[#This Row],[Price per Unit]]*Append1[[#This Row],[Units Sold]]</f>
        <v>4125</v>
      </c>
    </row>
    <row r="137" spans="1:10" x14ac:dyDescent="0.35">
      <c r="A137" t="s">
        <v>21</v>
      </c>
      <c r="B137" t="s">
        <v>22</v>
      </c>
      <c r="C137">
        <v>1197831</v>
      </c>
      <c r="D137" s="1">
        <v>44867</v>
      </c>
      <c r="E137" s="1">
        <v>44897</v>
      </c>
      <c r="F137" t="s">
        <v>23</v>
      </c>
      <c r="G137" t="s">
        <v>15</v>
      </c>
      <c r="H137" s="4">
        <v>0.5</v>
      </c>
      <c r="I137">
        <v>6750</v>
      </c>
      <c r="J137" s="4">
        <f>Append1[[#This Row],[Price per Unit]]*Append1[[#This Row],[Units Sold]]</f>
        <v>3375</v>
      </c>
    </row>
    <row r="138" spans="1:10" x14ac:dyDescent="0.35">
      <c r="A138" t="s">
        <v>21</v>
      </c>
      <c r="B138" t="s">
        <v>22</v>
      </c>
      <c r="C138">
        <v>1197831</v>
      </c>
      <c r="D138" s="1">
        <v>44867</v>
      </c>
      <c r="E138" s="1">
        <v>44897</v>
      </c>
      <c r="F138" t="s">
        <v>23</v>
      </c>
      <c r="G138" t="s">
        <v>16</v>
      </c>
      <c r="H138" s="4">
        <v>0.45</v>
      </c>
      <c r="I138">
        <v>6500</v>
      </c>
      <c r="J138" s="4">
        <f>Append1[[#This Row],[Price per Unit]]*Append1[[#This Row],[Units Sold]]</f>
        <v>2925</v>
      </c>
    </row>
    <row r="139" spans="1:10" x14ac:dyDescent="0.35">
      <c r="A139" t="s">
        <v>21</v>
      </c>
      <c r="B139" t="s">
        <v>22</v>
      </c>
      <c r="C139">
        <v>1197831</v>
      </c>
      <c r="D139" s="1">
        <v>44867</v>
      </c>
      <c r="E139" s="1">
        <v>44897</v>
      </c>
      <c r="F139" t="s">
        <v>23</v>
      </c>
      <c r="G139" t="s">
        <v>17</v>
      </c>
      <c r="H139" s="4">
        <v>0.55000000000000004</v>
      </c>
      <c r="I139">
        <v>8500</v>
      </c>
      <c r="J139" s="4">
        <f>Append1[[#This Row],[Price per Unit]]*Append1[[#This Row],[Units Sold]]</f>
        <v>4675</v>
      </c>
    </row>
    <row r="140" spans="1:10" x14ac:dyDescent="0.35">
      <c r="A140" t="s">
        <v>21</v>
      </c>
      <c r="B140" t="s">
        <v>22</v>
      </c>
      <c r="C140">
        <v>1197831</v>
      </c>
      <c r="D140" s="1">
        <v>44896</v>
      </c>
      <c r="E140" s="1">
        <v>44926</v>
      </c>
      <c r="F140" t="s">
        <v>23</v>
      </c>
      <c r="G140" t="s">
        <v>12</v>
      </c>
      <c r="H140" s="4">
        <v>0.45</v>
      </c>
      <c r="I140">
        <v>9500</v>
      </c>
      <c r="J140" s="4">
        <f>Append1[[#This Row],[Price per Unit]]*Append1[[#This Row],[Units Sold]]</f>
        <v>4275</v>
      </c>
    </row>
    <row r="141" spans="1:10" x14ac:dyDescent="0.35">
      <c r="A141" t="s">
        <v>21</v>
      </c>
      <c r="B141" t="s">
        <v>22</v>
      </c>
      <c r="C141">
        <v>1197831</v>
      </c>
      <c r="D141" s="1">
        <v>44896</v>
      </c>
      <c r="E141" s="1">
        <v>44926</v>
      </c>
      <c r="F141" t="s">
        <v>23</v>
      </c>
      <c r="G141" t="s">
        <v>13</v>
      </c>
      <c r="H141" s="4">
        <v>0.45</v>
      </c>
      <c r="I141">
        <v>9500</v>
      </c>
      <c r="J141" s="4">
        <f>Append1[[#This Row],[Price per Unit]]*Append1[[#This Row],[Units Sold]]</f>
        <v>4275</v>
      </c>
    </row>
    <row r="142" spans="1:10" x14ac:dyDescent="0.35">
      <c r="A142" t="s">
        <v>21</v>
      </c>
      <c r="B142" t="s">
        <v>22</v>
      </c>
      <c r="C142">
        <v>1197831</v>
      </c>
      <c r="D142" s="1">
        <v>44896</v>
      </c>
      <c r="E142" s="1">
        <v>44926</v>
      </c>
      <c r="F142" t="s">
        <v>23</v>
      </c>
      <c r="G142" t="s">
        <v>14</v>
      </c>
      <c r="H142" s="4">
        <v>0.5</v>
      </c>
      <c r="I142">
        <v>8500</v>
      </c>
      <c r="J142" s="4">
        <f>Append1[[#This Row],[Price per Unit]]*Append1[[#This Row],[Units Sold]]</f>
        <v>4250</v>
      </c>
    </row>
    <row r="143" spans="1:10" x14ac:dyDescent="0.35">
      <c r="A143" t="s">
        <v>21</v>
      </c>
      <c r="B143" t="s">
        <v>22</v>
      </c>
      <c r="C143">
        <v>1197831</v>
      </c>
      <c r="D143" s="1">
        <v>44896</v>
      </c>
      <c r="E143" s="1">
        <v>44926</v>
      </c>
      <c r="F143" t="s">
        <v>23</v>
      </c>
      <c r="G143" t="s">
        <v>15</v>
      </c>
      <c r="H143" s="4">
        <v>0.5</v>
      </c>
      <c r="I143">
        <v>7000</v>
      </c>
      <c r="J143" s="4">
        <f>Append1[[#This Row],[Price per Unit]]*Append1[[#This Row],[Units Sold]]</f>
        <v>3500</v>
      </c>
    </row>
    <row r="144" spans="1:10" x14ac:dyDescent="0.35">
      <c r="A144" t="s">
        <v>21</v>
      </c>
      <c r="B144" t="s">
        <v>22</v>
      </c>
      <c r="C144">
        <v>1197831</v>
      </c>
      <c r="D144" s="1">
        <v>44896</v>
      </c>
      <c r="E144" s="1">
        <v>44926</v>
      </c>
      <c r="F144" t="s">
        <v>23</v>
      </c>
      <c r="G144" t="s">
        <v>16</v>
      </c>
      <c r="H144" s="4">
        <v>0.45</v>
      </c>
      <c r="I144">
        <v>6500</v>
      </c>
      <c r="J144" s="4">
        <f>Append1[[#This Row],[Price per Unit]]*Append1[[#This Row],[Units Sold]]</f>
        <v>2925</v>
      </c>
    </row>
    <row r="145" spans="1:10" x14ac:dyDescent="0.35">
      <c r="A145" t="s">
        <v>21</v>
      </c>
      <c r="B145" t="s">
        <v>22</v>
      </c>
      <c r="C145">
        <v>1197831</v>
      </c>
      <c r="D145" s="1">
        <v>44896</v>
      </c>
      <c r="E145" s="1">
        <v>44926</v>
      </c>
      <c r="F145" t="s">
        <v>23</v>
      </c>
      <c r="G145" t="s">
        <v>17</v>
      </c>
      <c r="H145" s="4">
        <v>0.55000000000000004</v>
      </c>
      <c r="I145">
        <v>9000</v>
      </c>
      <c r="J145" s="4">
        <f>Append1[[#This Row],[Price per Unit]]*Append1[[#This Row],[Units Sold]]</f>
        <v>4950</v>
      </c>
    </row>
    <row r="146" spans="1:10" x14ac:dyDescent="0.35">
      <c r="A146" t="s">
        <v>24</v>
      </c>
      <c r="B146" t="s">
        <v>25</v>
      </c>
      <c r="C146">
        <v>1189833</v>
      </c>
      <c r="D146" s="1">
        <v>44576</v>
      </c>
      <c r="E146" s="1">
        <v>44611</v>
      </c>
      <c r="F146" t="s">
        <v>20</v>
      </c>
      <c r="G146" t="s">
        <v>12</v>
      </c>
      <c r="H146" s="4">
        <v>0.35</v>
      </c>
      <c r="I146">
        <v>7000</v>
      </c>
      <c r="J146" s="4">
        <f>Append1[[#This Row],[Price per Unit]]*Append1[[#This Row],[Units Sold]]</f>
        <v>2450</v>
      </c>
    </row>
    <row r="147" spans="1:10" x14ac:dyDescent="0.35">
      <c r="A147" t="s">
        <v>24</v>
      </c>
      <c r="B147" t="s">
        <v>25</v>
      </c>
      <c r="C147">
        <v>1189833</v>
      </c>
      <c r="D147" s="1">
        <v>44576</v>
      </c>
      <c r="E147" s="1">
        <v>44606</v>
      </c>
      <c r="F147" t="s">
        <v>20</v>
      </c>
      <c r="G147" t="s">
        <v>13</v>
      </c>
      <c r="H147" s="4">
        <v>0.45</v>
      </c>
      <c r="I147">
        <v>7000</v>
      </c>
      <c r="J147" s="4">
        <f>Append1[[#This Row],[Price per Unit]]*Append1[[#This Row],[Units Sold]]</f>
        <v>3150</v>
      </c>
    </row>
    <row r="148" spans="1:10" x14ac:dyDescent="0.35">
      <c r="A148" t="s">
        <v>24</v>
      </c>
      <c r="B148" t="s">
        <v>25</v>
      </c>
      <c r="C148">
        <v>1189833</v>
      </c>
      <c r="D148" s="1">
        <v>44576</v>
      </c>
      <c r="E148" s="1">
        <v>44606</v>
      </c>
      <c r="F148" t="s">
        <v>20</v>
      </c>
      <c r="G148" t="s">
        <v>14</v>
      </c>
      <c r="H148" s="4">
        <v>0.45</v>
      </c>
      <c r="I148">
        <v>7000</v>
      </c>
      <c r="J148" s="4">
        <f>Append1[[#This Row],[Price per Unit]]*Append1[[#This Row],[Units Sold]]</f>
        <v>3150</v>
      </c>
    </row>
    <row r="149" spans="1:10" x14ac:dyDescent="0.35">
      <c r="A149" t="s">
        <v>24</v>
      </c>
      <c r="B149" t="s">
        <v>25</v>
      </c>
      <c r="C149">
        <v>1189833</v>
      </c>
      <c r="D149" s="1">
        <v>44576</v>
      </c>
      <c r="E149" s="1">
        <v>44606</v>
      </c>
      <c r="F149" t="s">
        <v>20</v>
      </c>
      <c r="G149" t="s">
        <v>15</v>
      </c>
      <c r="H149" s="4">
        <v>0.45</v>
      </c>
      <c r="I149">
        <v>5500</v>
      </c>
      <c r="J149" s="4">
        <f>Append1[[#This Row],[Price per Unit]]*Append1[[#This Row],[Units Sold]]</f>
        <v>2475</v>
      </c>
    </row>
    <row r="150" spans="1:10" x14ac:dyDescent="0.35">
      <c r="A150" t="s">
        <v>24</v>
      </c>
      <c r="B150" t="s">
        <v>25</v>
      </c>
      <c r="C150">
        <v>1189833</v>
      </c>
      <c r="D150" s="1">
        <v>44576</v>
      </c>
      <c r="E150" s="1">
        <v>44606</v>
      </c>
      <c r="F150" t="s">
        <v>20</v>
      </c>
      <c r="G150" t="s">
        <v>16</v>
      </c>
      <c r="H150" s="4">
        <v>0.5</v>
      </c>
      <c r="I150">
        <v>5000</v>
      </c>
      <c r="J150" s="4">
        <f>Append1[[#This Row],[Price per Unit]]*Append1[[#This Row],[Units Sold]]</f>
        <v>2500</v>
      </c>
    </row>
    <row r="151" spans="1:10" x14ac:dyDescent="0.35">
      <c r="A151" t="s">
        <v>24</v>
      </c>
      <c r="B151" t="s">
        <v>25</v>
      </c>
      <c r="C151">
        <v>1189833</v>
      </c>
      <c r="D151" s="1">
        <v>44576</v>
      </c>
      <c r="E151" s="1">
        <v>44606</v>
      </c>
      <c r="F151" t="s">
        <v>20</v>
      </c>
      <c r="G151" t="s">
        <v>17</v>
      </c>
      <c r="H151" s="4">
        <v>0.45</v>
      </c>
      <c r="I151">
        <v>7000</v>
      </c>
      <c r="J151" s="4">
        <f>Append1[[#This Row],[Price per Unit]]*Append1[[#This Row],[Units Sold]]</f>
        <v>3150</v>
      </c>
    </row>
    <row r="152" spans="1:10" x14ac:dyDescent="0.35">
      <c r="A152" t="s">
        <v>24</v>
      </c>
      <c r="B152" t="s">
        <v>25</v>
      </c>
      <c r="C152">
        <v>1189833</v>
      </c>
      <c r="D152" s="1">
        <v>44607</v>
      </c>
      <c r="E152" s="1">
        <v>44637</v>
      </c>
      <c r="F152" t="s">
        <v>20</v>
      </c>
      <c r="G152" t="s">
        <v>12</v>
      </c>
      <c r="H152" s="4">
        <v>0.35</v>
      </c>
      <c r="I152">
        <v>7500</v>
      </c>
      <c r="J152" s="4">
        <f>Append1[[#This Row],[Price per Unit]]*Append1[[#This Row],[Units Sold]]</f>
        <v>2625</v>
      </c>
    </row>
    <row r="153" spans="1:10" x14ac:dyDescent="0.35">
      <c r="A153" t="s">
        <v>24</v>
      </c>
      <c r="B153" t="s">
        <v>25</v>
      </c>
      <c r="C153">
        <v>1189833</v>
      </c>
      <c r="D153" s="1">
        <v>44607</v>
      </c>
      <c r="E153" s="1">
        <v>44637</v>
      </c>
      <c r="F153" t="s">
        <v>20</v>
      </c>
      <c r="G153" t="s">
        <v>13</v>
      </c>
      <c r="H153" s="4">
        <v>0.45</v>
      </c>
      <c r="I153">
        <v>6500</v>
      </c>
      <c r="J153" s="4">
        <f>Append1[[#This Row],[Price per Unit]]*Append1[[#This Row],[Units Sold]]</f>
        <v>2925</v>
      </c>
    </row>
    <row r="154" spans="1:10" x14ac:dyDescent="0.35">
      <c r="A154" t="s">
        <v>24</v>
      </c>
      <c r="B154" t="s">
        <v>25</v>
      </c>
      <c r="C154">
        <v>1189833</v>
      </c>
      <c r="D154" s="1">
        <v>44607</v>
      </c>
      <c r="E154" s="1">
        <v>44637</v>
      </c>
      <c r="F154" t="s">
        <v>20</v>
      </c>
      <c r="G154" t="s">
        <v>14</v>
      </c>
      <c r="H154" s="4">
        <v>0.45</v>
      </c>
      <c r="I154">
        <v>6750</v>
      </c>
      <c r="J154" s="4">
        <f>Append1[[#This Row],[Price per Unit]]*Append1[[#This Row],[Units Sold]]</f>
        <v>3037.5</v>
      </c>
    </row>
    <row r="155" spans="1:10" x14ac:dyDescent="0.35">
      <c r="A155" t="s">
        <v>24</v>
      </c>
      <c r="B155" t="s">
        <v>25</v>
      </c>
      <c r="C155">
        <v>1189833</v>
      </c>
      <c r="D155" s="1">
        <v>44607</v>
      </c>
      <c r="E155" s="1">
        <v>44637</v>
      </c>
      <c r="F155" t="s">
        <v>20</v>
      </c>
      <c r="G155" t="s">
        <v>15</v>
      </c>
      <c r="H155" s="4">
        <v>0.45</v>
      </c>
      <c r="I155">
        <v>5250</v>
      </c>
      <c r="J155" s="4">
        <f>Append1[[#This Row],[Price per Unit]]*Append1[[#This Row],[Units Sold]]</f>
        <v>2362.5</v>
      </c>
    </row>
    <row r="156" spans="1:10" x14ac:dyDescent="0.35">
      <c r="A156" t="s">
        <v>24</v>
      </c>
      <c r="B156" t="s">
        <v>25</v>
      </c>
      <c r="C156">
        <v>1189833</v>
      </c>
      <c r="D156" s="1">
        <v>44607</v>
      </c>
      <c r="E156" s="1">
        <v>44642</v>
      </c>
      <c r="F156" t="s">
        <v>20</v>
      </c>
      <c r="G156" t="s">
        <v>16</v>
      </c>
      <c r="H156" s="4">
        <v>0.5</v>
      </c>
      <c r="I156">
        <v>4500</v>
      </c>
      <c r="J156" s="4">
        <f>Append1[[#This Row],[Price per Unit]]*Append1[[#This Row],[Units Sold]]</f>
        <v>2250</v>
      </c>
    </row>
    <row r="157" spans="1:10" x14ac:dyDescent="0.35">
      <c r="A157" t="s">
        <v>24</v>
      </c>
      <c r="B157" t="s">
        <v>25</v>
      </c>
      <c r="C157">
        <v>1189833</v>
      </c>
      <c r="D157" s="1">
        <v>44607</v>
      </c>
      <c r="E157" s="1">
        <v>44645</v>
      </c>
      <c r="F157" t="s">
        <v>20</v>
      </c>
      <c r="G157" t="s">
        <v>17</v>
      </c>
      <c r="H157" s="4">
        <v>0.45</v>
      </c>
      <c r="I157">
        <v>6500</v>
      </c>
      <c r="J157" s="4">
        <f>Append1[[#This Row],[Price per Unit]]*Append1[[#This Row],[Units Sold]]</f>
        <v>2925</v>
      </c>
    </row>
    <row r="158" spans="1:10" x14ac:dyDescent="0.35">
      <c r="A158" t="s">
        <v>24</v>
      </c>
      <c r="B158" t="s">
        <v>25</v>
      </c>
      <c r="C158">
        <v>1189833</v>
      </c>
      <c r="D158" s="1">
        <v>44634</v>
      </c>
      <c r="E158" s="1">
        <v>44664</v>
      </c>
      <c r="F158" t="s">
        <v>20</v>
      </c>
      <c r="G158" t="s">
        <v>12</v>
      </c>
      <c r="H158" s="4">
        <v>0.35</v>
      </c>
      <c r="I158">
        <v>8000</v>
      </c>
      <c r="J158" s="4">
        <f>Append1[[#This Row],[Price per Unit]]*Append1[[#This Row],[Units Sold]]</f>
        <v>2800</v>
      </c>
    </row>
    <row r="159" spans="1:10" x14ac:dyDescent="0.35">
      <c r="A159" t="s">
        <v>24</v>
      </c>
      <c r="B159" t="s">
        <v>25</v>
      </c>
      <c r="C159">
        <v>1189833</v>
      </c>
      <c r="D159" s="1">
        <v>44634</v>
      </c>
      <c r="E159" s="1">
        <v>44664</v>
      </c>
      <c r="F159" t="s">
        <v>20</v>
      </c>
      <c r="G159" t="s">
        <v>13</v>
      </c>
      <c r="H159" s="4">
        <v>0.45</v>
      </c>
      <c r="I159">
        <v>6500</v>
      </c>
      <c r="J159" s="4">
        <f>Append1[[#This Row],[Price per Unit]]*Append1[[#This Row],[Units Sold]]</f>
        <v>2925</v>
      </c>
    </row>
    <row r="160" spans="1:10" x14ac:dyDescent="0.35">
      <c r="A160" t="s">
        <v>24</v>
      </c>
      <c r="B160" t="s">
        <v>25</v>
      </c>
      <c r="C160">
        <v>1189833</v>
      </c>
      <c r="D160" s="1">
        <v>44634</v>
      </c>
      <c r="E160" s="1">
        <v>44664</v>
      </c>
      <c r="F160" t="s">
        <v>20</v>
      </c>
      <c r="G160" t="s">
        <v>14</v>
      </c>
      <c r="H160" s="4">
        <v>0.45</v>
      </c>
      <c r="I160">
        <v>6500</v>
      </c>
      <c r="J160" s="4">
        <f>Append1[[#This Row],[Price per Unit]]*Append1[[#This Row],[Units Sold]]</f>
        <v>2925</v>
      </c>
    </row>
    <row r="161" spans="1:10" x14ac:dyDescent="0.35">
      <c r="A161" t="s">
        <v>24</v>
      </c>
      <c r="B161" t="s">
        <v>25</v>
      </c>
      <c r="C161">
        <v>1189833</v>
      </c>
      <c r="D161" s="1">
        <v>44634</v>
      </c>
      <c r="E161" s="1">
        <v>44664</v>
      </c>
      <c r="F161" t="s">
        <v>20</v>
      </c>
      <c r="G161" t="s">
        <v>15</v>
      </c>
      <c r="H161" s="4">
        <v>0.45</v>
      </c>
      <c r="I161">
        <v>5500</v>
      </c>
      <c r="J161" s="4">
        <f>Append1[[#This Row],[Price per Unit]]*Append1[[#This Row],[Units Sold]]</f>
        <v>2475</v>
      </c>
    </row>
    <row r="162" spans="1:10" x14ac:dyDescent="0.35">
      <c r="A162" t="s">
        <v>24</v>
      </c>
      <c r="B162" t="s">
        <v>25</v>
      </c>
      <c r="C162">
        <v>1189833</v>
      </c>
      <c r="D162" s="1">
        <v>44634</v>
      </c>
      <c r="E162" s="1">
        <v>44664</v>
      </c>
      <c r="F162" t="s">
        <v>20</v>
      </c>
      <c r="G162" t="s">
        <v>16</v>
      </c>
      <c r="H162" s="4">
        <v>0.5</v>
      </c>
      <c r="I162">
        <v>4250</v>
      </c>
      <c r="J162" s="4">
        <f>Append1[[#This Row],[Price per Unit]]*Append1[[#This Row],[Units Sold]]</f>
        <v>2125</v>
      </c>
    </row>
    <row r="163" spans="1:10" x14ac:dyDescent="0.35">
      <c r="A163" t="s">
        <v>24</v>
      </c>
      <c r="B163" t="s">
        <v>25</v>
      </c>
      <c r="C163">
        <v>1189833</v>
      </c>
      <c r="D163" s="1">
        <v>44634</v>
      </c>
      <c r="E163" s="1">
        <v>44664</v>
      </c>
      <c r="F163" t="s">
        <v>20</v>
      </c>
      <c r="G163" t="s">
        <v>17</v>
      </c>
      <c r="H163" s="4">
        <v>0.45</v>
      </c>
      <c r="I163">
        <v>6250</v>
      </c>
      <c r="J163" s="4">
        <f>Append1[[#This Row],[Price per Unit]]*Append1[[#This Row],[Units Sold]]</f>
        <v>2812.5</v>
      </c>
    </row>
    <row r="164" spans="1:10" x14ac:dyDescent="0.35">
      <c r="A164" t="s">
        <v>24</v>
      </c>
      <c r="B164" t="s">
        <v>25</v>
      </c>
      <c r="C164">
        <v>1189833</v>
      </c>
      <c r="D164" s="1">
        <v>44666</v>
      </c>
      <c r="E164" s="1">
        <v>44696</v>
      </c>
      <c r="F164" t="s">
        <v>20</v>
      </c>
      <c r="G164" t="s">
        <v>12</v>
      </c>
      <c r="H164" s="4">
        <v>0.45</v>
      </c>
      <c r="I164">
        <v>8000</v>
      </c>
      <c r="J164" s="4">
        <f>Append1[[#This Row],[Price per Unit]]*Append1[[#This Row],[Units Sold]]</f>
        <v>3600</v>
      </c>
    </row>
    <row r="165" spans="1:10" x14ac:dyDescent="0.35">
      <c r="A165" t="s">
        <v>24</v>
      </c>
      <c r="B165" t="s">
        <v>25</v>
      </c>
      <c r="C165">
        <v>1189833</v>
      </c>
      <c r="D165" s="1">
        <v>44666</v>
      </c>
      <c r="E165" s="1">
        <v>44696</v>
      </c>
      <c r="F165" t="s">
        <v>20</v>
      </c>
      <c r="G165" t="s">
        <v>13</v>
      </c>
      <c r="H165" s="4">
        <v>0.5</v>
      </c>
      <c r="I165">
        <v>6000</v>
      </c>
      <c r="J165" s="4">
        <f>Append1[[#This Row],[Price per Unit]]*Append1[[#This Row],[Units Sold]]</f>
        <v>3000</v>
      </c>
    </row>
    <row r="166" spans="1:10" x14ac:dyDescent="0.35">
      <c r="A166" t="s">
        <v>24</v>
      </c>
      <c r="B166" t="s">
        <v>25</v>
      </c>
      <c r="C166">
        <v>1189833</v>
      </c>
      <c r="D166" s="1">
        <v>44666</v>
      </c>
      <c r="E166" s="1">
        <v>44696</v>
      </c>
      <c r="F166" t="s">
        <v>20</v>
      </c>
      <c r="G166" t="s">
        <v>14</v>
      </c>
      <c r="H166" s="4">
        <v>0.5</v>
      </c>
      <c r="I166">
        <v>6250</v>
      </c>
      <c r="J166" s="4">
        <f>Append1[[#This Row],[Price per Unit]]*Append1[[#This Row],[Units Sold]]</f>
        <v>3125</v>
      </c>
    </row>
    <row r="167" spans="1:10" x14ac:dyDescent="0.35">
      <c r="A167" t="s">
        <v>24</v>
      </c>
      <c r="B167" t="s">
        <v>25</v>
      </c>
      <c r="C167">
        <v>1189833</v>
      </c>
      <c r="D167" s="1">
        <v>44666</v>
      </c>
      <c r="E167" s="1">
        <v>44696</v>
      </c>
      <c r="F167" t="s">
        <v>20</v>
      </c>
      <c r="G167" t="s">
        <v>15</v>
      </c>
      <c r="H167" s="4">
        <v>0.45</v>
      </c>
      <c r="I167">
        <v>5250</v>
      </c>
      <c r="J167" s="4">
        <f>Append1[[#This Row],[Price per Unit]]*Append1[[#This Row],[Units Sold]]</f>
        <v>2362.5</v>
      </c>
    </row>
    <row r="168" spans="1:10" x14ac:dyDescent="0.35">
      <c r="A168" t="s">
        <v>24</v>
      </c>
      <c r="B168" t="s">
        <v>25</v>
      </c>
      <c r="C168">
        <v>1189833</v>
      </c>
      <c r="D168" s="1">
        <v>44666</v>
      </c>
      <c r="E168" s="1">
        <v>44696</v>
      </c>
      <c r="F168" t="s">
        <v>20</v>
      </c>
      <c r="G168" t="s">
        <v>16</v>
      </c>
      <c r="H168" s="4">
        <v>0.5</v>
      </c>
      <c r="I168">
        <v>4250</v>
      </c>
      <c r="J168" s="4">
        <f>Append1[[#This Row],[Price per Unit]]*Append1[[#This Row],[Units Sold]]</f>
        <v>2125</v>
      </c>
    </row>
    <row r="169" spans="1:10" x14ac:dyDescent="0.35">
      <c r="A169" t="s">
        <v>24</v>
      </c>
      <c r="B169" t="s">
        <v>25</v>
      </c>
      <c r="C169">
        <v>1189833</v>
      </c>
      <c r="D169" s="1">
        <v>44666</v>
      </c>
      <c r="E169" s="1">
        <v>44696</v>
      </c>
      <c r="F169" t="s">
        <v>20</v>
      </c>
      <c r="G169" t="s">
        <v>17</v>
      </c>
      <c r="H169" s="4">
        <v>0.65</v>
      </c>
      <c r="I169">
        <v>6000</v>
      </c>
      <c r="J169" s="4">
        <f>Append1[[#This Row],[Price per Unit]]*Append1[[#This Row],[Units Sold]]</f>
        <v>3900</v>
      </c>
    </row>
    <row r="170" spans="1:10" x14ac:dyDescent="0.35">
      <c r="A170" t="s">
        <v>24</v>
      </c>
      <c r="B170" t="s">
        <v>25</v>
      </c>
      <c r="C170">
        <v>1189833</v>
      </c>
      <c r="D170" s="1">
        <v>44697</v>
      </c>
      <c r="E170" s="1">
        <v>44727</v>
      </c>
      <c r="F170" t="s">
        <v>20</v>
      </c>
      <c r="G170" t="s">
        <v>12</v>
      </c>
      <c r="H170" s="4">
        <v>0.45</v>
      </c>
      <c r="I170">
        <v>8000</v>
      </c>
      <c r="J170" s="4">
        <f>Append1[[#This Row],[Price per Unit]]*Append1[[#This Row],[Units Sold]]</f>
        <v>3600</v>
      </c>
    </row>
    <row r="171" spans="1:10" x14ac:dyDescent="0.35">
      <c r="A171" t="s">
        <v>24</v>
      </c>
      <c r="B171" t="s">
        <v>25</v>
      </c>
      <c r="C171">
        <v>1189833</v>
      </c>
      <c r="D171" s="1">
        <v>44697</v>
      </c>
      <c r="E171" s="1">
        <v>44727</v>
      </c>
      <c r="F171" t="s">
        <v>20</v>
      </c>
      <c r="G171" t="s">
        <v>13</v>
      </c>
      <c r="H171" s="4">
        <v>0.5</v>
      </c>
      <c r="I171">
        <v>6500</v>
      </c>
      <c r="J171" s="4">
        <f>Append1[[#This Row],[Price per Unit]]*Append1[[#This Row],[Units Sold]]</f>
        <v>3250</v>
      </c>
    </row>
    <row r="172" spans="1:10" x14ac:dyDescent="0.35">
      <c r="A172" t="s">
        <v>24</v>
      </c>
      <c r="B172" t="s">
        <v>25</v>
      </c>
      <c r="C172">
        <v>1189833</v>
      </c>
      <c r="D172" s="1">
        <v>44697</v>
      </c>
      <c r="E172" s="1">
        <v>44727</v>
      </c>
      <c r="F172" t="s">
        <v>20</v>
      </c>
      <c r="G172" t="s">
        <v>14</v>
      </c>
      <c r="H172" s="4">
        <v>0.5</v>
      </c>
      <c r="I172">
        <v>6500</v>
      </c>
      <c r="J172" s="4">
        <f>Append1[[#This Row],[Price per Unit]]*Append1[[#This Row],[Units Sold]]</f>
        <v>3250</v>
      </c>
    </row>
    <row r="173" spans="1:10" x14ac:dyDescent="0.35">
      <c r="A173" t="s">
        <v>24</v>
      </c>
      <c r="B173" t="s">
        <v>25</v>
      </c>
      <c r="C173">
        <v>1189833</v>
      </c>
      <c r="D173" s="1">
        <v>44697</v>
      </c>
      <c r="E173" s="1">
        <v>44727</v>
      </c>
      <c r="F173" t="s">
        <v>20</v>
      </c>
      <c r="G173" t="s">
        <v>15</v>
      </c>
      <c r="H173" s="4">
        <v>0.45</v>
      </c>
      <c r="I173">
        <v>5500</v>
      </c>
      <c r="J173" s="4">
        <f>Append1[[#This Row],[Price per Unit]]*Append1[[#This Row],[Units Sold]]</f>
        <v>2475</v>
      </c>
    </row>
    <row r="174" spans="1:10" x14ac:dyDescent="0.35">
      <c r="A174" t="s">
        <v>24</v>
      </c>
      <c r="B174" t="s">
        <v>25</v>
      </c>
      <c r="C174">
        <v>1189833</v>
      </c>
      <c r="D174" s="1">
        <v>44697</v>
      </c>
      <c r="E174" s="1">
        <v>44727</v>
      </c>
      <c r="F174" t="s">
        <v>20</v>
      </c>
      <c r="G174" t="s">
        <v>16</v>
      </c>
      <c r="H174" s="4">
        <v>0.5</v>
      </c>
      <c r="I174">
        <v>4500</v>
      </c>
      <c r="J174" s="4">
        <f>Append1[[#This Row],[Price per Unit]]*Append1[[#This Row],[Units Sold]]</f>
        <v>2250</v>
      </c>
    </row>
    <row r="175" spans="1:10" x14ac:dyDescent="0.35">
      <c r="A175" t="s">
        <v>24</v>
      </c>
      <c r="B175" t="s">
        <v>25</v>
      </c>
      <c r="C175">
        <v>1189833</v>
      </c>
      <c r="D175" s="1">
        <v>44697</v>
      </c>
      <c r="E175" s="1">
        <v>44727</v>
      </c>
      <c r="F175" t="s">
        <v>20</v>
      </c>
      <c r="G175" t="s">
        <v>17</v>
      </c>
      <c r="H175" s="4">
        <v>0.65</v>
      </c>
      <c r="I175">
        <v>6250</v>
      </c>
      <c r="J175" s="4">
        <f>Append1[[#This Row],[Price per Unit]]*Append1[[#This Row],[Units Sold]]</f>
        <v>4062.5</v>
      </c>
    </row>
    <row r="176" spans="1:10" x14ac:dyDescent="0.35">
      <c r="A176" t="s">
        <v>24</v>
      </c>
      <c r="B176" t="s">
        <v>25</v>
      </c>
      <c r="C176">
        <v>1189833</v>
      </c>
      <c r="D176" s="1">
        <v>44727</v>
      </c>
      <c r="E176" s="1">
        <v>44757</v>
      </c>
      <c r="F176" t="s">
        <v>20</v>
      </c>
      <c r="G176" t="s">
        <v>12</v>
      </c>
      <c r="H176" s="4">
        <v>0.45</v>
      </c>
      <c r="I176">
        <v>9000</v>
      </c>
      <c r="J176" s="4">
        <f>Append1[[#This Row],[Price per Unit]]*Append1[[#This Row],[Units Sold]]</f>
        <v>4050</v>
      </c>
    </row>
    <row r="177" spans="1:10" x14ac:dyDescent="0.35">
      <c r="A177" t="s">
        <v>24</v>
      </c>
      <c r="B177" t="s">
        <v>25</v>
      </c>
      <c r="C177">
        <v>1189833</v>
      </c>
      <c r="D177" s="1">
        <v>44727</v>
      </c>
      <c r="E177" s="1">
        <v>44757</v>
      </c>
      <c r="F177" t="s">
        <v>20</v>
      </c>
      <c r="G177" t="s">
        <v>13</v>
      </c>
      <c r="H177" s="4">
        <v>0.5</v>
      </c>
      <c r="I177">
        <v>7500</v>
      </c>
      <c r="J177" s="4">
        <f>Append1[[#This Row],[Price per Unit]]*Append1[[#This Row],[Units Sold]]</f>
        <v>3750</v>
      </c>
    </row>
    <row r="178" spans="1:10" x14ac:dyDescent="0.35">
      <c r="A178" t="s">
        <v>24</v>
      </c>
      <c r="B178" t="s">
        <v>25</v>
      </c>
      <c r="C178">
        <v>1189833</v>
      </c>
      <c r="D178" s="1">
        <v>44727</v>
      </c>
      <c r="E178" s="1">
        <v>44757</v>
      </c>
      <c r="F178" t="s">
        <v>20</v>
      </c>
      <c r="G178" t="s">
        <v>14</v>
      </c>
      <c r="H178" s="4">
        <v>0.5</v>
      </c>
      <c r="I178">
        <v>7500</v>
      </c>
      <c r="J178" s="4">
        <f>Append1[[#This Row],[Price per Unit]]*Append1[[#This Row],[Units Sold]]</f>
        <v>3750</v>
      </c>
    </row>
    <row r="179" spans="1:10" x14ac:dyDescent="0.35">
      <c r="A179" t="s">
        <v>24</v>
      </c>
      <c r="B179" t="s">
        <v>25</v>
      </c>
      <c r="C179">
        <v>1189833</v>
      </c>
      <c r="D179" s="1">
        <v>44727</v>
      </c>
      <c r="E179" s="1">
        <v>44757</v>
      </c>
      <c r="F179" t="s">
        <v>20</v>
      </c>
      <c r="G179" t="s">
        <v>15</v>
      </c>
      <c r="H179" s="4">
        <v>0.45</v>
      </c>
      <c r="I179">
        <v>6250</v>
      </c>
      <c r="J179" s="4">
        <f>Append1[[#This Row],[Price per Unit]]*Append1[[#This Row],[Units Sold]]</f>
        <v>2812.5</v>
      </c>
    </row>
    <row r="180" spans="1:10" x14ac:dyDescent="0.35">
      <c r="A180" t="s">
        <v>24</v>
      </c>
      <c r="B180" t="s">
        <v>25</v>
      </c>
      <c r="C180">
        <v>1189833</v>
      </c>
      <c r="D180" s="1">
        <v>44727</v>
      </c>
      <c r="E180" s="1">
        <v>44757</v>
      </c>
      <c r="F180" t="s">
        <v>20</v>
      </c>
      <c r="G180" t="s">
        <v>16</v>
      </c>
      <c r="H180" s="4">
        <v>0.5</v>
      </c>
      <c r="I180">
        <v>5000</v>
      </c>
      <c r="J180" s="4">
        <f>Append1[[#This Row],[Price per Unit]]*Append1[[#This Row],[Units Sold]]</f>
        <v>2500</v>
      </c>
    </row>
    <row r="181" spans="1:10" x14ac:dyDescent="0.35">
      <c r="A181" t="s">
        <v>24</v>
      </c>
      <c r="B181" t="s">
        <v>25</v>
      </c>
      <c r="C181">
        <v>1189833</v>
      </c>
      <c r="D181" s="1">
        <v>44727</v>
      </c>
      <c r="E181" s="1">
        <v>44757</v>
      </c>
      <c r="F181" t="s">
        <v>20</v>
      </c>
      <c r="G181" t="s">
        <v>17</v>
      </c>
      <c r="H181" s="4">
        <v>0.65</v>
      </c>
      <c r="I181">
        <v>8000</v>
      </c>
      <c r="J181" s="4">
        <f>Append1[[#This Row],[Price per Unit]]*Append1[[#This Row],[Units Sold]]</f>
        <v>5200</v>
      </c>
    </row>
    <row r="182" spans="1:10" x14ac:dyDescent="0.35">
      <c r="A182" t="s">
        <v>24</v>
      </c>
      <c r="B182" t="s">
        <v>25</v>
      </c>
      <c r="C182">
        <v>1189833</v>
      </c>
      <c r="D182" s="1">
        <v>44756</v>
      </c>
      <c r="E182" s="1">
        <v>44786</v>
      </c>
      <c r="F182" t="s">
        <v>20</v>
      </c>
      <c r="G182" t="s">
        <v>12</v>
      </c>
      <c r="H182" s="4">
        <v>0.45</v>
      </c>
      <c r="I182">
        <v>9500</v>
      </c>
      <c r="J182" s="4">
        <f>Append1[[#This Row],[Price per Unit]]*Append1[[#This Row],[Units Sold]]</f>
        <v>4275</v>
      </c>
    </row>
    <row r="183" spans="1:10" x14ac:dyDescent="0.35">
      <c r="A183" t="s">
        <v>24</v>
      </c>
      <c r="B183" t="s">
        <v>25</v>
      </c>
      <c r="C183">
        <v>1189833</v>
      </c>
      <c r="D183" s="1">
        <v>44756</v>
      </c>
      <c r="E183" s="1">
        <v>44786</v>
      </c>
      <c r="F183" t="s">
        <v>20</v>
      </c>
      <c r="G183" t="s">
        <v>13</v>
      </c>
      <c r="H183" s="4">
        <v>0.5</v>
      </c>
      <c r="I183">
        <v>8000</v>
      </c>
      <c r="J183" s="4">
        <f>Append1[[#This Row],[Price per Unit]]*Append1[[#This Row],[Units Sold]]</f>
        <v>4000</v>
      </c>
    </row>
    <row r="184" spans="1:10" x14ac:dyDescent="0.35">
      <c r="A184" t="s">
        <v>24</v>
      </c>
      <c r="B184" t="s">
        <v>25</v>
      </c>
      <c r="C184">
        <v>1189833</v>
      </c>
      <c r="D184" s="1">
        <v>44756</v>
      </c>
      <c r="E184" s="1">
        <v>44786</v>
      </c>
      <c r="F184" t="s">
        <v>20</v>
      </c>
      <c r="G184" t="s">
        <v>14</v>
      </c>
      <c r="H184" s="4">
        <v>0.5</v>
      </c>
      <c r="I184">
        <v>7500</v>
      </c>
      <c r="J184" s="4">
        <f>Append1[[#This Row],[Price per Unit]]*Append1[[#This Row],[Units Sold]]</f>
        <v>3750</v>
      </c>
    </row>
    <row r="185" spans="1:10" x14ac:dyDescent="0.35">
      <c r="A185" t="s">
        <v>24</v>
      </c>
      <c r="B185" t="s">
        <v>25</v>
      </c>
      <c r="C185">
        <v>1189833</v>
      </c>
      <c r="D185" s="1">
        <v>44756</v>
      </c>
      <c r="E185" s="1">
        <v>44786</v>
      </c>
      <c r="F185" t="s">
        <v>20</v>
      </c>
      <c r="G185" t="s">
        <v>15</v>
      </c>
      <c r="H185" s="4">
        <v>0.45</v>
      </c>
      <c r="I185">
        <v>6500</v>
      </c>
      <c r="J185" s="4">
        <f>Append1[[#This Row],[Price per Unit]]*Append1[[#This Row],[Units Sold]]</f>
        <v>2925</v>
      </c>
    </row>
    <row r="186" spans="1:10" x14ac:dyDescent="0.35">
      <c r="A186" t="s">
        <v>24</v>
      </c>
      <c r="B186" t="s">
        <v>25</v>
      </c>
      <c r="C186">
        <v>1189833</v>
      </c>
      <c r="D186" s="1">
        <v>44756</v>
      </c>
      <c r="E186" s="1">
        <v>44786</v>
      </c>
      <c r="F186" t="s">
        <v>20</v>
      </c>
      <c r="G186" t="s">
        <v>16</v>
      </c>
      <c r="H186" s="4">
        <v>0.5</v>
      </c>
      <c r="I186">
        <v>7000</v>
      </c>
      <c r="J186" s="4">
        <f>Append1[[#This Row],[Price per Unit]]*Append1[[#This Row],[Units Sold]]</f>
        <v>3500</v>
      </c>
    </row>
    <row r="187" spans="1:10" x14ac:dyDescent="0.35">
      <c r="A187" t="s">
        <v>24</v>
      </c>
      <c r="B187" t="s">
        <v>25</v>
      </c>
      <c r="C187">
        <v>1189833</v>
      </c>
      <c r="D187" s="1">
        <v>44756</v>
      </c>
      <c r="E187" s="1">
        <v>44786</v>
      </c>
      <c r="F187" t="s">
        <v>20</v>
      </c>
      <c r="G187" t="s">
        <v>17</v>
      </c>
      <c r="H187" s="4">
        <v>0.65</v>
      </c>
      <c r="I187">
        <v>7000</v>
      </c>
      <c r="J187" s="4">
        <f>Append1[[#This Row],[Price per Unit]]*Append1[[#This Row],[Units Sold]]</f>
        <v>4550</v>
      </c>
    </row>
    <row r="188" spans="1:10" x14ac:dyDescent="0.35">
      <c r="A188" t="s">
        <v>24</v>
      </c>
      <c r="B188" t="s">
        <v>25</v>
      </c>
      <c r="C188">
        <v>1189833</v>
      </c>
      <c r="D188" s="1">
        <v>44788</v>
      </c>
      <c r="E188" s="1">
        <v>44818</v>
      </c>
      <c r="F188" t="s">
        <v>20</v>
      </c>
      <c r="G188" t="s">
        <v>12</v>
      </c>
      <c r="H188" s="4">
        <v>0.5</v>
      </c>
      <c r="I188">
        <v>9000</v>
      </c>
      <c r="J188" s="4">
        <f>Append1[[#This Row],[Price per Unit]]*Append1[[#This Row],[Units Sold]]</f>
        <v>4500</v>
      </c>
    </row>
    <row r="189" spans="1:10" x14ac:dyDescent="0.35">
      <c r="A189" t="s">
        <v>24</v>
      </c>
      <c r="B189" t="s">
        <v>25</v>
      </c>
      <c r="C189">
        <v>1189833</v>
      </c>
      <c r="D189" s="1">
        <v>44788</v>
      </c>
      <c r="E189" s="1">
        <v>44818</v>
      </c>
      <c r="F189" t="s">
        <v>20</v>
      </c>
      <c r="G189" t="s">
        <v>13</v>
      </c>
      <c r="H189" s="4">
        <v>0.55000000000000004</v>
      </c>
      <c r="I189">
        <v>8500</v>
      </c>
      <c r="J189" s="4">
        <f>Append1[[#This Row],[Price per Unit]]*Append1[[#This Row],[Units Sold]]</f>
        <v>4675</v>
      </c>
    </row>
    <row r="190" spans="1:10" x14ac:dyDescent="0.35">
      <c r="A190" t="s">
        <v>24</v>
      </c>
      <c r="B190" t="s">
        <v>25</v>
      </c>
      <c r="C190">
        <v>1189833</v>
      </c>
      <c r="D190" s="1">
        <v>44788</v>
      </c>
      <c r="E190" s="1">
        <v>44818</v>
      </c>
      <c r="F190" t="s">
        <v>20</v>
      </c>
      <c r="G190" t="s">
        <v>14</v>
      </c>
      <c r="H190" s="4">
        <v>0.5</v>
      </c>
      <c r="I190">
        <v>7250</v>
      </c>
      <c r="J190" s="4">
        <f>Append1[[#This Row],[Price per Unit]]*Append1[[#This Row],[Units Sold]]</f>
        <v>3625</v>
      </c>
    </row>
    <row r="191" spans="1:10" x14ac:dyDescent="0.35">
      <c r="A191" t="s">
        <v>24</v>
      </c>
      <c r="B191" t="s">
        <v>25</v>
      </c>
      <c r="C191">
        <v>1189833</v>
      </c>
      <c r="D191" s="1">
        <v>44788</v>
      </c>
      <c r="E191" s="1">
        <v>44818</v>
      </c>
      <c r="F191" t="s">
        <v>20</v>
      </c>
      <c r="G191" t="s">
        <v>15</v>
      </c>
      <c r="H191" s="4">
        <v>0.5</v>
      </c>
      <c r="I191">
        <v>6750</v>
      </c>
      <c r="J191" s="4">
        <f>Append1[[#This Row],[Price per Unit]]*Append1[[#This Row],[Units Sold]]</f>
        <v>3375</v>
      </c>
    </row>
    <row r="192" spans="1:10" x14ac:dyDescent="0.35">
      <c r="A192" t="s">
        <v>24</v>
      </c>
      <c r="B192" t="s">
        <v>25</v>
      </c>
      <c r="C192">
        <v>1189833</v>
      </c>
      <c r="D192" s="1">
        <v>44788</v>
      </c>
      <c r="E192" s="1">
        <v>44818</v>
      </c>
      <c r="F192" t="s">
        <v>20</v>
      </c>
      <c r="G192" t="s">
        <v>16</v>
      </c>
      <c r="H192" s="4">
        <v>0.6</v>
      </c>
      <c r="I192">
        <v>6750</v>
      </c>
      <c r="J192" s="4">
        <f>Append1[[#This Row],[Price per Unit]]*Append1[[#This Row],[Units Sold]]</f>
        <v>4050</v>
      </c>
    </row>
    <row r="193" spans="1:10" x14ac:dyDescent="0.35">
      <c r="A193" t="s">
        <v>24</v>
      </c>
      <c r="B193" t="s">
        <v>25</v>
      </c>
      <c r="C193">
        <v>1189833</v>
      </c>
      <c r="D193" s="1">
        <v>44788</v>
      </c>
      <c r="E193" s="1">
        <v>44818</v>
      </c>
      <c r="F193" t="s">
        <v>20</v>
      </c>
      <c r="G193" t="s">
        <v>17</v>
      </c>
      <c r="H193" s="4">
        <v>0.65</v>
      </c>
      <c r="I193">
        <v>6500</v>
      </c>
      <c r="J193" s="4">
        <f>Append1[[#This Row],[Price per Unit]]*Append1[[#This Row],[Units Sold]]</f>
        <v>4225</v>
      </c>
    </row>
    <row r="194" spans="1:10" x14ac:dyDescent="0.35">
      <c r="A194" t="s">
        <v>24</v>
      </c>
      <c r="B194" t="s">
        <v>25</v>
      </c>
      <c r="C194">
        <v>1189833</v>
      </c>
      <c r="D194" s="1">
        <v>44820</v>
      </c>
      <c r="E194" s="1">
        <v>44850</v>
      </c>
      <c r="F194" t="s">
        <v>20</v>
      </c>
      <c r="G194" t="s">
        <v>12</v>
      </c>
      <c r="H194" s="4">
        <v>0.5</v>
      </c>
      <c r="I194">
        <v>8500</v>
      </c>
      <c r="J194" s="4">
        <f>Append1[[#This Row],[Price per Unit]]*Append1[[#This Row],[Units Sold]]</f>
        <v>4250</v>
      </c>
    </row>
    <row r="195" spans="1:10" x14ac:dyDescent="0.35">
      <c r="A195" t="s">
        <v>24</v>
      </c>
      <c r="B195" t="s">
        <v>25</v>
      </c>
      <c r="C195">
        <v>1189833</v>
      </c>
      <c r="D195" s="1">
        <v>44820</v>
      </c>
      <c r="E195" s="1">
        <v>44850</v>
      </c>
      <c r="F195" t="s">
        <v>20</v>
      </c>
      <c r="G195" t="s">
        <v>13</v>
      </c>
      <c r="H195" s="4">
        <v>0.55000000000000004</v>
      </c>
      <c r="I195">
        <v>8500</v>
      </c>
      <c r="J195" s="4">
        <f>Append1[[#This Row],[Price per Unit]]*Append1[[#This Row],[Units Sold]]</f>
        <v>4675</v>
      </c>
    </row>
    <row r="196" spans="1:10" x14ac:dyDescent="0.35">
      <c r="A196" t="s">
        <v>24</v>
      </c>
      <c r="B196" t="s">
        <v>25</v>
      </c>
      <c r="C196">
        <v>1189833</v>
      </c>
      <c r="D196" s="1">
        <v>44820</v>
      </c>
      <c r="E196" s="1">
        <v>44850</v>
      </c>
      <c r="F196" t="s">
        <v>20</v>
      </c>
      <c r="G196" t="s">
        <v>14</v>
      </c>
      <c r="H196" s="4">
        <v>0.5</v>
      </c>
      <c r="I196">
        <v>7000</v>
      </c>
      <c r="J196" s="4">
        <f>Append1[[#This Row],[Price per Unit]]*Append1[[#This Row],[Units Sold]]</f>
        <v>3500</v>
      </c>
    </row>
    <row r="197" spans="1:10" x14ac:dyDescent="0.35">
      <c r="A197" t="s">
        <v>24</v>
      </c>
      <c r="B197" t="s">
        <v>25</v>
      </c>
      <c r="C197">
        <v>1189833</v>
      </c>
      <c r="D197" s="1">
        <v>44820</v>
      </c>
      <c r="E197" s="1">
        <v>44850</v>
      </c>
      <c r="F197" t="s">
        <v>20</v>
      </c>
      <c r="G197" t="s">
        <v>15</v>
      </c>
      <c r="H197" s="4">
        <v>0.5</v>
      </c>
      <c r="I197">
        <v>6500</v>
      </c>
      <c r="J197" s="4">
        <f>Append1[[#This Row],[Price per Unit]]*Append1[[#This Row],[Units Sold]]</f>
        <v>3250</v>
      </c>
    </row>
    <row r="198" spans="1:10" x14ac:dyDescent="0.35">
      <c r="A198" t="s">
        <v>24</v>
      </c>
      <c r="B198" t="s">
        <v>25</v>
      </c>
      <c r="C198">
        <v>1189833</v>
      </c>
      <c r="D198" s="1">
        <v>44820</v>
      </c>
      <c r="E198" s="1">
        <v>44850</v>
      </c>
      <c r="F198" t="s">
        <v>20</v>
      </c>
      <c r="G198" t="s">
        <v>16</v>
      </c>
      <c r="H198" s="4">
        <v>0.6</v>
      </c>
      <c r="I198">
        <v>6500</v>
      </c>
      <c r="J198" s="4">
        <f>Append1[[#This Row],[Price per Unit]]*Append1[[#This Row],[Units Sold]]</f>
        <v>3900</v>
      </c>
    </row>
    <row r="199" spans="1:10" x14ac:dyDescent="0.35">
      <c r="A199" t="s">
        <v>24</v>
      </c>
      <c r="B199" t="s">
        <v>25</v>
      </c>
      <c r="C199">
        <v>1189833</v>
      </c>
      <c r="D199" s="1">
        <v>44820</v>
      </c>
      <c r="E199" s="1">
        <v>44850</v>
      </c>
      <c r="F199" t="s">
        <v>20</v>
      </c>
      <c r="G199" t="s">
        <v>17</v>
      </c>
      <c r="H199" s="4">
        <v>0.65</v>
      </c>
      <c r="I199">
        <v>7000</v>
      </c>
      <c r="J199" s="4">
        <f>Append1[[#This Row],[Price per Unit]]*Append1[[#This Row],[Units Sold]]</f>
        <v>4550</v>
      </c>
    </row>
    <row r="200" spans="1:10" x14ac:dyDescent="0.35">
      <c r="A200" t="s">
        <v>24</v>
      </c>
      <c r="B200" t="s">
        <v>25</v>
      </c>
      <c r="C200">
        <v>1189833</v>
      </c>
      <c r="D200" s="1">
        <v>44849</v>
      </c>
      <c r="E200" s="1">
        <v>44879</v>
      </c>
      <c r="F200" t="s">
        <v>20</v>
      </c>
      <c r="G200" t="s">
        <v>12</v>
      </c>
      <c r="H200" s="4">
        <v>0.5</v>
      </c>
      <c r="I200">
        <v>8000</v>
      </c>
      <c r="J200" s="4">
        <f>Append1[[#This Row],[Price per Unit]]*Append1[[#This Row],[Units Sold]]</f>
        <v>4000</v>
      </c>
    </row>
    <row r="201" spans="1:10" x14ac:dyDescent="0.35">
      <c r="A201" t="s">
        <v>24</v>
      </c>
      <c r="B201" t="s">
        <v>25</v>
      </c>
      <c r="C201">
        <v>1189833</v>
      </c>
      <c r="D201" s="1">
        <v>44849</v>
      </c>
      <c r="E201" s="1">
        <v>44879</v>
      </c>
      <c r="F201" t="s">
        <v>20</v>
      </c>
      <c r="G201" t="s">
        <v>13</v>
      </c>
      <c r="H201" s="4">
        <v>0.55000000000000004</v>
      </c>
      <c r="I201">
        <v>8000</v>
      </c>
      <c r="J201" s="4">
        <f>Append1[[#This Row],[Price per Unit]]*Append1[[#This Row],[Units Sold]]</f>
        <v>4400</v>
      </c>
    </row>
    <row r="202" spans="1:10" x14ac:dyDescent="0.35">
      <c r="A202" t="s">
        <v>24</v>
      </c>
      <c r="B202" t="s">
        <v>25</v>
      </c>
      <c r="C202">
        <v>1189833</v>
      </c>
      <c r="D202" s="1">
        <v>44849</v>
      </c>
      <c r="E202" s="1">
        <v>44879</v>
      </c>
      <c r="F202" t="s">
        <v>20</v>
      </c>
      <c r="G202" t="s">
        <v>14</v>
      </c>
      <c r="H202" s="4">
        <v>0.5</v>
      </c>
      <c r="I202">
        <v>6500</v>
      </c>
      <c r="J202" s="4">
        <f>Append1[[#This Row],[Price per Unit]]*Append1[[#This Row],[Units Sold]]</f>
        <v>3250</v>
      </c>
    </row>
    <row r="203" spans="1:10" x14ac:dyDescent="0.35">
      <c r="A203" t="s">
        <v>24</v>
      </c>
      <c r="B203" t="s">
        <v>25</v>
      </c>
      <c r="C203">
        <v>1189833</v>
      </c>
      <c r="D203" s="1">
        <v>44849</v>
      </c>
      <c r="E203" s="1">
        <v>44879</v>
      </c>
      <c r="F203" t="s">
        <v>20</v>
      </c>
      <c r="G203" t="s">
        <v>15</v>
      </c>
      <c r="H203" s="4">
        <v>0.5</v>
      </c>
      <c r="I203">
        <v>6250</v>
      </c>
      <c r="J203" s="4">
        <f>Append1[[#This Row],[Price per Unit]]*Append1[[#This Row],[Units Sold]]</f>
        <v>3125</v>
      </c>
    </row>
    <row r="204" spans="1:10" x14ac:dyDescent="0.35">
      <c r="A204" t="s">
        <v>24</v>
      </c>
      <c r="B204" t="s">
        <v>25</v>
      </c>
      <c r="C204">
        <v>1189833</v>
      </c>
      <c r="D204" s="1">
        <v>44849</v>
      </c>
      <c r="E204" s="1">
        <v>44879</v>
      </c>
      <c r="F204" t="s">
        <v>20</v>
      </c>
      <c r="G204" t="s">
        <v>16</v>
      </c>
      <c r="H204" s="4">
        <v>0.6</v>
      </c>
      <c r="I204">
        <v>6000</v>
      </c>
      <c r="J204" s="4">
        <f>Append1[[#This Row],[Price per Unit]]*Append1[[#This Row],[Units Sold]]</f>
        <v>3600</v>
      </c>
    </row>
    <row r="205" spans="1:10" x14ac:dyDescent="0.35">
      <c r="A205" t="s">
        <v>24</v>
      </c>
      <c r="B205" t="s">
        <v>25</v>
      </c>
      <c r="C205">
        <v>1189833</v>
      </c>
      <c r="D205" s="1">
        <v>44849</v>
      </c>
      <c r="E205" s="1">
        <v>44879</v>
      </c>
      <c r="F205" t="s">
        <v>20</v>
      </c>
      <c r="G205" t="s">
        <v>17</v>
      </c>
      <c r="H205" s="4">
        <v>0.65</v>
      </c>
      <c r="I205">
        <v>6500</v>
      </c>
      <c r="J205" s="4">
        <f>Append1[[#This Row],[Price per Unit]]*Append1[[#This Row],[Units Sold]]</f>
        <v>4225</v>
      </c>
    </row>
    <row r="206" spans="1:10" x14ac:dyDescent="0.35">
      <c r="A206" t="s">
        <v>24</v>
      </c>
      <c r="B206" t="s">
        <v>25</v>
      </c>
      <c r="C206">
        <v>1189833</v>
      </c>
      <c r="D206" s="1">
        <v>44880</v>
      </c>
      <c r="E206" s="1">
        <v>44910</v>
      </c>
      <c r="F206" t="s">
        <v>20</v>
      </c>
      <c r="G206" t="s">
        <v>12</v>
      </c>
      <c r="H206" s="4">
        <v>0.5</v>
      </c>
      <c r="I206">
        <v>8250</v>
      </c>
      <c r="J206" s="4">
        <f>Append1[[#This Row],[Price per Unit]]*Append1[[#This Row],[Units Sold]]</f>
        <v>4125</v>
      </c>
    </row>
    <row r="207" spans="1:10" x14ac:dyDescent="0.35">
      <c r="A207" t="s">
        <v>24</v>
      </c>
      <c r="B207" t="s">
        <v>25</v>
      </c>
      <c r="C207">
        <v>1189833</v>
      </c>
      <c r="D207" s="1">
        <v>44880</v>
      </c>
      <c r="E207" s="1">
        <v>44910</v>
      </c>
      <c r="F207" t="s">
        <v>20</v>
      </c>
      <c r="G207" t="s">
        <v>13</v>
      </c>
      <c r="H207" s="4">
        <v>0.55000000000000004</v>
      </c>
      <c r="I207">
        <v>8250</v>
      </c>
      <c r="J207" s="4">
        <f>Append1[[#This Row],[Price per Unit]]*Append1[[#This Row],[Units Sold]]</f>
        <v>4537.5</v>
      </c>
    </row>
    <row r="208" spans="1:10" x14ac:dyDescent="0.35">
      <c r="A208" t="s">
        <v>24</v>
      </c>
      <c r="B208" t="s">
        <v>25</v>
      </c>
      <c r="C208">
        <v>1189833</v>
      </c>
      <c r="D208" s="1">
        <v>44880</v>
      </c>
      <c r="E208" s="1">
        <v>44910</v>
      </c>
      <c r="F208" t="s">
        <v>20</v>
      </c>
      <c r="G208" t="s">
        <v>14</v>
      </c>
      <c r="H208" s="4">
        <v>0.5</v>
      </c>
      <c r="I208">
        <v>6750</v>
      </c>
      <c r="J208" s="4">
        <f>Append1[[#This Row],[Price per Unit]]*Append1[[#This Row],[Units Sold]]</f>
        <v>3375</v>
      </c>
    </row>
    <row r="209" spans="1:10" x14ac:dyDescent="0.35">
      <c r="A209" t="s">
        <v>24</v>
      </c>
      <c r="B209" t="s">
        <v>25</v>
      </c>
      <c r="C209">
        <v>1189833</v>
      </c>
      <c r="D209" s="1">
        <v>44880</v>
      </c>
      <c r="E209" s="1">
        <v>44910</v>
      </c>
      <c r="F209" t="s">
        <v>20</v>
      </c>
      <c r="G209" t="s">
        <v>15</v>
      </c>
      <c r="H209" s="4">
        <v>0.5</v>
      </c>
      <c r="I209">
        <v>6500</v>
      </c>
      <c r="J209" s="4">
        <f>Append1[[#This Row],[Price per Unit]]*Append1[[#This Row],[Units Sold]]</f>
        <v>3250</v>
      </c>
    </row>
    <row r="210" spans="1:10" x14ac:dyDescent="0.35">
      <c r="A210" t="s">
        <v>24</v>
      </c>
      <c r="B210" t="s">
        <v>25</v>
      </c>
      <c r="C210">
        <v>1189833</v>
      </c>
      <c r="D210" s="1">
        <v>44880</v>
      </c>
      <c r="E210" s="1">
        <v>44910</v>
      </c>
      <c r="F210" t="s">
        <v>20</v>
      </c>
      <c r="G210" t="s">
        <v>16</v>
      </c>
      <c r="H210" s="4">
        <v>0.6</v>
      </c>
      <c r="I210">
        <v>6000</v>
      </c>
      <c r="J210" s="4">
        <f>Append1[[#This Row],[Price per Unit]]*Append1[[#This Row],[Units Sold]]</f>
        <v>3600</v>
      </c>
    </row>
    <row r="211" spans="1:10" x14ac:dyDescent="0.35">
      <c r="A211" t="s">
        <v>24</v>
      </c>
      <c r="B211" t="s">
        <v>25</v>
      </c>
      <c r="C211">
        <v>1189833</v>
      </c>
      <c r="D211" s="1">
        <v>44880</v>
      </c>
      <c r="E211" s="1">
        <v>44910</v>
      </c>
      <c r="F211" t="s">
        <v>20</v>
      </c>
      <c r="G211" t="s">
        <v>17</v>
      </c>
      <c r="H211" s="4">
        <v>0.65</v>
      </c>
      <c r="I211">
        <v>7000</v>
      </c>
      <c r="J211" s="4">
        <f>Append1[[#This Row],[Price per Unit]]*Append1[[#This Row],[Units Sold]]</f>
        <v>4550</v>
      </c>
    </row>
    <row r="212" spans="1:10" x14ac:dyDescent="0.35">
      <c r="A212" t="s">
        <v>24</v>
      </c>
      <c r="B212" t="s">
        <v>25</v>
      </c>
      <c r="C212">
        <v>1189833</v>
      </c>
      <c r="D212" s="1">
        <v>44909</v>
      </c>
      <c r="E212" s="1">
        <v>44939</v>
      </c>
      <c r="F212" t="s">
        <v>20</v>
      </c>
      <c r="G212" t="s">
        <v>12</v>
      </c>
      <c r="H212" s="4">
        <v>0.5</v>
      </c>
      <c r="I212">
        <v>9000</v>
      </c>
      <c r="J212" s="4">
        <f>Append1[[#This Row],[Price per Unit]]*Append1[[#This Row],[Units Sold]]</f>
        <v>4500</v>
      </c>
    </row>
    <row r="213" spans="1:10" x14ac:dyDescent="0.35">
      <c r="A213" t="s">
        <v>24</v>
      </c>
      <c r="B213" t="s">
        <v>25</v>
      </c>
      <c r="C213">
        <v>1189833</v>
      </c>
      <c r="D213" s="1">
        <v>44909</v>
      </c>
      <c r="E213" s="1">
        <v>44939</v>
      </c>
      <c r="F213" t="s">
        <v>20</v>
      </c>
      <c r="G213" t="s">
        <v>13</v>
      </c>
      <c r="H213" s="4">
        <v>0.55000000000000004</v>
      </c>
      <c r="I213">
        <v>9000</v>
      </c>
      <c r="J213" s="4">
        <f>Append1[[#This Row],[Price per Unit]]*Append1[[#This Row],[Units Sold]]</f>
        <v>4950</v>
      </c>
    </row>
    <row r="214" spans="1:10" x14ac:dyDescent="0.35">
      <c r="A214" t="s">
        <v>24</v>
      </c>
      <c r="B214" t="s">
        <v>25</v>
      </c>
      <c r="C214">
        <v>1189833</v>
      </c>
      <c r="D214" s="1">
        <v>44909</v>
      </c>
      <c r="E214" s="1">
        <v>44939</v>
      </c>
      <c r="F214" t="s">
        <v>20</v>
      </c>
      <c r="G214" t="s">
        <v>14</v>
      </c>
      <c r="H214" s="4">
        <v>0.5</v>
      </c>
      <c r="I214">
        <v>7000</v>
      </c>
      <c r="J214" s="4">
        <f>Append1[[#This Row],[Price per Unit]]*Append1[[#This Row],[Units Sold]]</f>
        <v>3500</v>
      </c>
    </row>
    <row r="215" spans="1:10" x14ac:dyDescent="0.35">
      <c r="A215" t="s">
        <v>24</v>
      </c>
      <c r="B215" t="s">
        <v>25</v>
      </c>
      <c r="C215">
        <v>1189833</v>
      </c>
      <c r="D215" s="1">
        <v>44909</v>
      </c>
      <c r="E215" s="1">
        <v>44939</v>
      </c>
      <c r="F215" t="s">
        <v>20</v>
      </c>
      <c r="G215" t="s">
        <v>15</v>
      </c>
      <c r="H215" s="4">
        <v>0.5</v>
      </c>
      <c r="I215">
        <v>7000</v>
      </c>
      <c r="J215" s="4">
        <f>Append1[[#This Row],[Price per Unit]]*Append1[[#This Row],[Units Sold]]</f>
        <v>3500</v>
      </c>
    </row>
    <row r="216" spans="1:10" x14ac:dyDescent="0.35">
      <c r="A216" t="s">
        <v>24</v>
      </c>
      <c r="B216" t="s">
        <v>25</v>
      </c>
      <c r="C216">
        <v>1189833</v>
      </c>
      <c r="D216" s="1">
        <v>44909</v>
      </c>
      <c r="E216" s="1">
        <v>44939</v>
      </c>
      <c r="F216" t="s">
        <v>20</v>
      </c>
      <c r="G216" t="s">
        <v>16</v>
      </c>
      <c r="H216" s="4">
        <v>0.6</v>
      </c>
      <c r="I216">
        <v>6250</v>
      </c>
      <c r="J216" s="4">
        <f>Append1[[#This Row],[Price per Unit]]*Append1[[#This Row],[Units Sold]]</f>
        <v>3750</v>
      </c>
    </row>
    <row r="217" spans="1:10" x14ac:dyDescent="0.35">
      <c r="A217" t="s">
        <v>24</v>
      </c>
      <c r="B217" t="s">
        <v>25</v>
      </c>
      <c r="C217">
        <v>1189833</v>
      </c>
      <c r="D217" s="1">
        <v>44909</v>
      </c>
      <c r="E217" s="1">
        <v>44939</v>
      </c>
      <c r="F217" t="s">
        <v>20</v>
      </c>
      <c r="G217" t="s">
        <v>17</v>
      </c>
      <c r="H217" s="4">
        <v>0.65</v>
      </c>
      <c r="I217">
        <v>7250</v>
      </c>
      <c r="J217" s="4">
        <f>Append1[[#This Row],[Price per Unit]]*Append1[[#This Row],[Units Sold]]</f>
        <v>4712.5</v>
      </c>
    </row>
    <row r="218" spans="1:10" x14ac:dyDescent="0.35">
      <c r="A218" t="s">
        <v>9</v>
      </c>
      <c r="B218" t="s">
        <v>10</v>
      </c>
      <c r="C218">
        <v>1185732</v>
      </c>
      <c r="D218" s="1">
        <v>44575</v>
      </c>
      <c r="E218" s="1">
        <v>44605</v>
      </c>
      <c r="F218" t="s">
        <v>11</v>
      </c>
      <c r="G218" t="s">
        <v>12</v>
      </c>
      <c r="H218" s="4">
        <v>0.5</v>
      </c>
      <c r="I218">
        <v>12000</v>
      </c>
      <c r="J218" s="4">
        <f>Append1[[#This Row],[Price per Unit]]*Append1[[#This Row],[Units Sold]]</f>
        <v>6000</v>
      </c>
    </row>
    <row r="219" spans="1:10" x14ac:dyDescent="0.35">
      <c r="A219" t="s">
        <v>9</v>
      </c>
      <c r="B219" t="s">
        <v>10</v>
      </c>
      <c r="C219">
        <v>1185732</v>
      </c>
      <c r="D219" s="1">
        <v>44575</v>
      </c>
      <c r="E219" s="1">
        <v>44605</v>
      </c>
      <c r="F219" t="s">
        <v>11</v>
      </c>
      <c r="G219" t="s">
        <v>13</v>
      </c>
      <c r="H219" s="4">
        <v>0.5</v>
      </c>
      <c r="I219">
        <v>10000</v>
      </c>
      <c r="J219" s="4">
        <f>Append1[[#This Row],[Price per Unit]]*Append1[[#This Row],[Units Sold]]</f>
        <v>5000</v>
      </c>
    </row>
    <row r="220" spans="1:10" x14ac:dyDescent="0.35">
      <c r="A220" t="s">
        <v>9</v>
      </c>
      <c r="B220" t="s">
        <v>10</v>
      </c>
      <c r="C220">
        <v>1185732</v>
      </c>
      <c r="D220" s="1">
        <v>44575</v>
      </c>
      <c r="E220" s="1">
        <v>44605</v>
      </c>
      <c r="F220" t="s">
        <v>11</v>
      </c>
      <c r="G220" t="s">
        <v>14</v>
      </c>
      <c r="H220" s="4">
        <v>0.4</v>
      </c>
      <c r="I220">
        <v>10000</v>
      </c>
      <c r="J220" s="4">
        <f>Append1[[#This Row],[Price per Unit]]*Append1[[#This Row],[Units Sold]]</f>
        <v>4000</v>
      </c>
    </row>
    <row r="221" spans="1:10" x14ac:dyDescent="0.35">
      <c r="A221" t="s">
        <v>9</v>
      </c>
      <c r="B221" t="s">
        <v>10</v>
      </c>
      <c r="C221">
        <v>1185732</v>
      </c>
      <c r="D221" s="1">
        <v>44575</v>
      </c>
      <c r="E221" s="1">
        <v>44605</v>
      </c>
      <c r="F221" t="s">
        <v>11</v>
      </c>
      <c r="G221" t="s">
        <v>15</v>
      </c>
      <c r="H221" s="4">
        <v>0.45</v>
      </c>
      <c r="I221">
        <v>8500</v>
      </c>
      <c r="J221" s="4">
        <f>Append1[[#This Row],[Price per Unit]]*Append1[[#This Row],[Units Sold]]</f>
        <v>3825</v>
      </c>
    </row>
    <row r="222" spans="1:10" x14ac:dyDescent="0.35">
      <c r="A222" t="s">
        <v>9</v>
      </c>
      <c r="B222" t="s">
        <v>10</v>
      </c>
      <c r="C222">
        <v>1185732</v>
      </c>
      <c r="D222" s="1">
        <v>44575</v>
      </c>
      <c r="E222" s="1">
        <v>44605</v>
      </c>
      <c r="F222" t="s">
        <v>11</v>
      </c>
      <c r="G222" t="s">
        <v>16</v>
      </c>
      <c r="H222" s="4">
        <v>0.6</v>
      </c>
      <c r="I222">
        <v>9000</v>
      </c>
      <c r="J222" s="4">
        <f>Append1[[#This Row],[Price per Unit]]*Append1[[#This Row],[Units Sold]]</f>
        <v>5400</v>
      </c>
    </row>
    <row r="223" spans="1:10" x14ac:dyDescent="0.35">
      <c r="A223" t="s">
        <v>9</v>
      </c>
      <c r="B223" t="s">
        <v>10</v>
      </c>
      <c r="C223">
        <v>1185732</v>
      </c>
      <c r="D223" s="1">
        <v>44575</v>
      </c>
      <c r="E223" s="1">
        <v>44620</v>
      </c>
      <c r="F223" t="s">
        <v>11</v>
      </c>
      <c r="G223" t="s">
        <v>17</v>
      </c>
      <c r="H223" s="4">
        <v>0.5</v>
      </c>
      <c r="I223">
        <v>10000</v>
      </c>
      <c r="J223" s="4">
        <f>Append1[[#This Row],[Price per Unit]]*Append1[[#This Row],[Units Sold]]</f>
        <v>5000</v>
      </c>
    </row>
    <row r="224" spans="1:10" x14ac:dyDescent="0.35">
      <c r="A224" t="s">
        <v>9</v>
      </c>
      <c r="B224" t="s">
        <v>10</v>
      </c>
      <c r="C224">
        <v>1185732</v>
      </c>
      <c r="D224" s="1">
        <v>44604</v>
      </c>
      <c r="E224" s="1">
        <v>44634</v>
      </c>
      <c r="F224" t="s">
        <v>11</v>
      </c>
      <c r="G224" t="s">
        <v>12</v>
      </c>
      <c r="H224" s="4">
        <v>0.5</v>
      </c>
      <c r="I224">
        <v>12500</v>
      </c>
      <c r="J224" s="4">
        <f>Append1[[#This Row],[Price per Unit]]*Append1[[#This Row],[Units Sold]]</f>
        <v>6250</v>
      </c>
    </row>
    <row r="225" spans="1:10" x14ac:dyDescent="0.35">
      <c r="A225" t="s">
        <v>9</v>
      </c>
      <c r="B225" t="s">
        <v>10</v>
      </c>
      <c r="C225">
        <v>1185732</v>
      </c>
      <c r="D225" s="1">
        <v>44604</v>
      </c>
      <c r="E225" s="1">
        <v>44634</v>
      </c>
      <c r="F225" t="s">
        <v>11</v>
      </c>
      <c r="G225" t="s">
        <v>13</v>
      </c>
      <c r="H225" s="4">
        <v>0.5</v>
      </c>
      <c r="I225">
        <v>9000</v>
      </c>
      <c r="J225" s="4">
        <f>Append1[[#This Row],[Price per Unit]]*Append1[[#This Row],[Units Sold]]</f>
        <v>4500</v>
      </c>
    </row>
    <row r="226" spans="1:10" x14ac:dyDescent="0.35">
      <c r="A226" t="s">
        <v>9</v>
      </c>
      <c r="B226" t="s">
        <v>10</v>
      </c>
      <c r="C226">
        <v>1185732</v>
      </c>
      <c r="D226" s="1">
        <v>44604</v>
      </c>
      <c r="E226" s="1">
        <v>44634</v>
      </c>
      <c r="F226" t="s">
        <v>11</v>
      </c>
      <c r="G226" t="s">
        <v>14</v>
      </c>
      <c r="H226" s="4">
        <v>0.4</v>
      </c>
      <c r="I226">
        <v>9500</v>
      </c>
      <c r="J226" s="4">
        <f>Append1[[#This Row],[Price per Unit]]*Append1[[#This Row],[Units Sold]]</f>
        <v>3800</v>
      </c>
    </row>
    <row r="227" spans="1:10" x14ac:dyDescent="0.35">
      <c r="A227" t="s">
        <v>9</v>
      </c>
      <c r="B227" t="s">
        <v>10</v>
      </c>
      <c r="C227">
        <v>1185732</v>
      </c>
      <c r="D227" s="1">
        <v>44604</v>
      </c>
      <c r="E227" s="1">
        <v>44634</v>
      </c>
      <c r="F227" t="s">
        <v>11</v>
      </c>
      <c r="G227" t="s">
        <v>15</v>
      </c>
      <c r="H227" s="4">
        <v>0.45</v>
      </c>
      <c r="I227">
        <v>8250</v>
      </c>
      <c r="J227" s="4">
        <f>Append1[[#This Row],[Price per Unit]]*Append1[[#This Row],[Units Sold]]</f>
        <v>3712.5</v>
      </c>
    </row>
    <row r="228" spans="1:10" x14ac:dyDescent="0.35">
      <c r="A228" t="s">
        <v>9</v>
      </c>
      <c r="B228" t="s">
        <v>10</v>
      </c>
      <c r="C228">
        <v>1185732</v>
      </c>
      <c r="D228" s="1">
        <v>44604</v>
      </c>
      <c r="E228" s="1">
        <v>44649</v>
      </c>
      <c r="F228" t="s">
        <v>11</v>
      </c>
      <c r="G228" t="s">
        <v>16</v>
      </c>
      <c r="H228" s="4">
        <v>0.6</v>
      </c>
      <c r="I228">
        <v>9000</v>
      </c>
      <c r="J228" s="4">
        <f>Append1[[#This Row],[Price per Unit]]*Append1[[#This Row],[Units Sold]]</f>
        <v>5400</v>
      </c>
    </row>
    <row r="229" spans="1:10" x14ac:dyDescent="0.35">
      <c r="A229" t="s">
        <v>9</v>
      </c>
      <c r="B229" t="s">
        <v>10</v>
      </c>
      <c r="C229">
        <v>1185732</v>
      </c>
      <c r="D229" s="1">
        <v>44604</v>
      </c>
      <c r="E229" s="1">
        <v>44634</v>
      </c>
      <c r="F229" t="s">
        <v>11</v>
      </c>
      <c r="G229" t="s">
        <v>17</v>
      </c>
      <c r="H229" s="4">
        <v>0.5</v>
      </c>
      <c r="I229">
        <v>10000</v>
      </c>
      <c r="J229" s="4">
        <f>Append1[[#This Row],[Price per Unit]]*Append1[[#This Row],[Units Sold]]</f>
        <v>5000</v>
      </c>
    </row>
    <row r="230" spans="1:10" x14ac:dyDescent="0.35">
      <c r="A230" t="s">
        <v>9</v>
      </c>
      <c r="B230" t="s">
        <v>10</v>
      </c>
      <c r="C230">
        <v>1185732</v>
      </c>
      <c r="D230" s="1">
        <v>44630</v>
      </c>
      <c r="E230" s="1">
        <v>44660</v>
      </c>
      <c r="F230" t="s">
        <v>11</v>
      </c>
      <c r="G230" t="s">
        <v>12</v>
      </c>
      <c r="H230" s="4">
        <v>0.5</v>
      </c>
      <c r="I230">
        <v>12200</v>
      </c>
      <c r="J230" s="4">
        <f>Append1[[#This Row],[Price per Unit]]*Append1[[#This Row],[Units Sold]]</f>
        <v>6100</v>
      </c>
    </row>
    <row r="231" spans="1:10" x14ac:dyDescent="0.35">
      <c r="A231" t="s">
        <v>9</v>
      </c>
      <c r="B231" t="s">
        <v>10</v>
      </c>
      <c r="C231">
        <v>1185732</v>
      </c>
      <c r="D231" s="1">
        <v>44630</v>
      </c>
      <c r="E231" s="1">
        <v>44660</v>
      </c>
      <c r="F231" t="s">
        <v>11</v>
      </c>
      <c r="G231" t="s">
        <v>13</v>
      </c>
      <c r="H231" s="4">
        <v>0.5</v>
      </c>
      <c r="I231">
        <v>9250</v>
      </c>
      <c r="J231" s="4">
        <f>Append1[[#This Row],[Price per Unit]]*Append1[[#This Row],[Units Sold]]</f>
        <v>4625</v>
      </c>
    </row>
    <row r="232" spans="1:10" x14ac:dyDescent="0.35">
      <c r="A232" t="s">
        <v>9</v>
      </c>
      <c r="B232" t="s">
        <v>10</v>
      </c>
      <c r="C232">
        <v>1185732</v>
      </c>
      <c r="D232" s="1">
        <v>44630</v>
      </c>
      <c r="E232" s="1">
        <v>44675</v>
      </c>
      <c r="F232" t="s">
        <v>11</v>
      </c>
      <c r="G232" t="s">
        <v>14</v>
      </c>
      <c r="H232" s="4">
        <v>0.4</v>
      </c>
      <c r="I232">
        <v>9500</v>
      </c>
      <c r="J232" s="4">
        <f>Append1[[#This Row],[Price per Unit]]*Append1[[#This Row],[Units Sold]]</f>
        <v>3800</v>
      </c>
    </row>
    <row r="233" spans="1:10" x14ac:dyDescent="0.35">
      <c r="A233" t="s">
        <v>9</v>
      </c>
      <c r="B233" t="s">
        <v>10</v>
      </c>
      <c r="C233">
        <v>1185732</v>
      </c>
      <c r="D233" s="1">
        <v>44630</v>
      </c>
      <c r="E233" s="1">
        <v>44660</v>
      </c>
      <c r="F233" t="s">
        <v>11</v>
      </c>
      <c r="G233" t="s">
        <v>15</v>
      </c>
      <c r="H233" s="4">
        <v>0.45</v>
      </c>
      <c r="I233">
        <v>8000</v>
      </c>
      <c r="J233" s="4">
        <f>Append1[[#This Row],[Price per Unit]]*Append1[[#This Row],[Units Sold]]</f>
        <v>3600</v>
      </c>
    </row>
    <row r="234" spans="1:10" x14ac:dyDescent="0.35">
      <c r="A234" t="s">
        <v>9</v>
      </c>
      <c r="B234" t="s">
        <v>10</v>
      </c>
      <c r="C234">
        <v>1185732</v>
      </c>
      <c r="D234" s="1">
        <v>44630</v>
      </c>
      <c r="E234" s="1">
        <v>44660</v>
      </c>
      <c r="F234" t="s">
        <v>11</v>
      </c>
      <c r="G234" t="s">
        <v>16</v>
      </c>
      <c r="H234" s="4">
        <v>0.6</v>
      </c>
      <c r="I234">
        <v>8500</v>
      </c>
      <c r="J234" s="4">
        <f>Append1[[#This Row],[Price per Unit]]*Append1[[#This Row],[Units Sold]]</f>
        <v>5100</v>
      </c>
    </row>
    <row r="235" spans="1:10" x14ac:dyDescent="0.35">
      <c r="A235" t="s">
        <v>9</v>
      </c>
      <c r="B235" t="s">
        <v>10</v>
      </c>
      <c r="C235">
        <v>1185732</v>
      </c>
      <c r="D235" s="1">
        <v>44630</v>
      </c>
      <c r="E235" s="1">
        <v>44660</v>
      </c>
      <c r="F235" t="s">
        <v>11</v>
      </c>
      <c r="G235" t="s">
        <v>17</v>
      </c>
      <c r="H235" s="4">
        <v>0.5</v>
      </c>
      <c r="I235">
        <v>9500</v>
      </c>
      <c r="J235" s="4">
        <f>Append1[[#This Row],[Price per Unit]]*Append1[[#This Row],[Units Sold]]</f>
        <v>4750</v>
      </c>
    </row>
    <row r="236" spans="1:10" x14ac:dyDescent="0.35">
      <c r="A236" t="s">
        <v>9</v>
      </c>
      <c r="B236" t="s">
        <v>10</v>
      </c>
      <c r="C236">
        <v>1185732</v>
      </c>
      <c r="D236" s="1">
        <v>44662</v>
      </c>
      <c r="E236" s="1">
        <v>44692</v>
      </c>
      <c r="F236" t="s">
        <v>11</v>
      </c>
      <c r="G236" t="s">
        <v>12</v>
      </c>
      <c r="H236" s="4">
        <v>0.5</v>
      </c>
      <c r="I236">
        <v>12000</v>
      </c>
      <c r="J236" s="4">
        <f>Append1[[#This Row],[Price per Unit]]*Append1[[#This Row],[Units Sold]]</f>
        <v>6000</v>
      </c>
    </row>
    <row r="237" spans="1:10" x14ac:dyDescent="0.35">
      <c r="A237" t="s">
        <v>9</v>
      </c>
      <c r="B237" t="s">
        <v>10</v>
      </c>
      <c r="C237">
        <v>1185732</v>
      </c>
      <c r="D237" s="1">
        <v>44662</v>
      </c>
      <c r="E237" s="1">
        <v>44692</v>
      </c>
      <c r="F237" t="s">
        <v>11</v>
      </c>
      <c r="G237" t="s">
        <v>13</v>
      </c>
      <c r="H237" s="4">
        <v>0.5</v>
      </c>
      <c r="I237">
        <v>9000</v>
      </c>
      <c r="J237" s="4">
        <f>Append1[[#This Row],[Price per Unit]]*Append1[[#This Row],[Units Sold]]</f>
        <v>4500</v>
      </c>
    </row>
    <row r="238" spans="1:10" x14ac:dyDescent="0.35">
      <c r="A238" t="s">
        <v>9</v>
      </c>
      <c r="B238" t="s">
        <v>10</v>
      </c>
      <c r="C238">
        <v>1185732</v>
      </c>
      <c r="D238" s="1">
        <v>44662</v>
      </c>
      <c r="E238" s="1">
        <v>44692</v>
      </c>
      <c r="F238" t="s">
        <v>11</v>
      </c>
      <c r="G238" t="s">
        <v>14</v>
      </c>
      <c r="H238" s="4">
        <v>0.4</v>
      </c>
      <c r="I238">
        <v>9000</v>
      </c>
      <c r="J238" s="4">
        <f>Append1[[#This Row],[Price per Unit]]*Append1[[#This Row],[Units Sold]]</f>
        <v>3600</v>
      </c>
    </row>
    <row r="239" spans="1:10" x14ac:dyDescent="0.35">
      <c r="A239" t="s">
        <v>9</v>
      </c>
      <c r="B239" t="s">
        <v>10</v>
      </c>
      <c r="C239">
        <v>1185732</v>
      </c>
      <c r="D239" s="1">
        <v>44662</v>
      </c>
      <c r="E239" s="1">
        <v>44692</v>
      </c>
      <c r="F239" t="s">
        <v>11</v>
      </c>
      <c r="G239" t="s">
        <v>15</v>
      </c>
      <c r="H239" s="4">
        <v>0.45</v>
      </c>
      <c r="I239">
        <v>8250</v>
      </c>
      <c r="J239" s="4">
        <f>Append1[[#This Row],[Price per Unit]]*Append1[[#This Row],[Units Sold]]</f>
        <v>3712.5</v>
      </c>
    </row>
    <row r="240" spans="1:10" x14ac:dyDescent="0.35">
      <c r="A240" t="s">
        <v>9</v>
      </c>
      <c r="B240" t="s">
        <v>10</v>
      </c>
      <c r="C240">
        <v>1185732</v>
      </c>
      <c r="D240" s="1">
        <v>44662</v>
      </c>
      <c r="E240" s="1">
        <v>44692</v>
      </c>
      <c r="F240" t="s">
        <v>11</v>
      </c>
      <c r="G240" t="s">
        <v>16</v>
      </c>
      <c r="H240" s="4">
        <v>0.6</v>
      </c>
      <c r="I240">
        <v>8250</v>
      </c>
      <c r="J240" s="4">
        <f>Append1[[#This Row],[Price per Unit]]*Append1[[#This Row],[Units Sold]]</f>
        <v>4950</v>
      </c>
    </row>
    <row r="241" spans="1:10" x14ac:dyDescent="0.35">
      <c r="A241" t="s">
        <v>9</v>
      </c>
      <c r="B241" t="s">
        <v>10</v>
      </c>
      <c r="C241">
        <v>1185732</v>
      </c>
      <c r="D241" s="1">
        <v>44662</v>
      </c>
      <c r="E241" s="1">
        <v>44692</v>
      </c>
      <c r="F241" t="s">
        <v>11</v>
      </c>
      <c r="G241" t="s">
        <v>17</v>
      </c>
      <c r="H241" s="4">
        <v>0.5</v>
      </c>
      <c r="I241">
        <v>9500</v>
      </c>
      <c r="J241" s="4">
        <f>Append1[[#This Row],[Price per Unit]]*Append1[[#This Row],[Units Sold]]</f>
        <v>4750</v>
      </c>
    </row>
    <row r="242" spans="1:10" x14ac:dyDescent="0.35">
      <c r="A242" t="s">
        <v>9</v>
      </c>
      <c r="B242" t="s">
        <v>10</v>
      </c>
      <c r="C242">
        <v>1185732</v>
      </c>
      <c r="D242" s="1">
        <v>44691</v>
      </c>
      <c r="E242" s="1">
        <v>44721</v>
      </c>
      <c r="F242" t="s">
        <v>11</v>
      </c>
      <c r="G242" t="s">
        <v>12</v>
      </c>
      <c r="H242" s="4">
        <v>0.6</v>
      </c>
      <c r="I242">
        <v>12200</v>
      </c>
      <c r="J242" s="4">
        <f>Append1[[#This Row],[Price per Unit]]*Append1[[#This Row],[Units Sold]]</f>
        <v>7320</v>
      </c>
    </row>
    <row r="243" spans="1:10" x14ac:dyDescent="0.35">
      <c r="A243" t="s">
        <v>9</v>
      </c>
      <c r="B243" t="s">
        <v>10</v>
      </c>
      <c r="C243">
        <v>1185732</v>
      </c>
      <c r="D243" s="1">
        <v>44691</v>
      </c>
      <c r="E243" s="1">
        <v>44721</v>
      </c>
      <c r="F243" t="s">
        <v>11</v>
      </c>
      <c r="G243" t="s">
        <v>13</v>
      </c>
      <c r="H243" s="4">
        <v>0.55000000000000004</v>
      </c>
      <c r="I243">
        <v>9250</v>
      </c>
      <c r="J243" s="4">
        <f>Append1[[#This Row],[Price per Unit]]*Append1[[#This Row],[Units Sold]]</f>
        <v>5087.5</v>
      </c>
    </row>
    <row r="244" spans="1:10" x14ac:dyDescent="0.35">
      <c r="A244" t="s">
        <v>9</v>
      </c>
      <c r="B244" t="s">
        <v>10</v>
      </c>
      <c r="C244">
        <v>1185732</v>
      </c>
      <c r="D244" s="1">
        <v>44691</v>
      </c>
      <c r="E244" s="1">
        <v>44721</v>
      </c>
      <c r="F244" t="s">
        <v>11</v>
      </c>
      <c r="G244" t="s">
        <v>14</v>
      </c>
      <c r="H244" s="4">
        <v>0.5</v>
      </c>
      <c r="I244">
        <v>9000</v>
      </c>
      <c r="J244" s="4">
        <f>Append1[[#This Row],[Price per Unit]]*Append1[[#This Row],[Units Sold]]</f>
        <v>4500</v>
      </c>
    </row>
    <row r="245" spans="1:10" x14ac:dyDescent="0.35">
      <c r="A245" t="s">
        <v>9</v>
      </c>
      <c r="B245" t="s">
        <v>10</v>
      </c>
      <c r="C245">
        <v>1185732</v>
      </c>
      <c r="D245" s="1">
        <v>44691</v>
      </c>
      <c r="E245" s="1">
        <v>44721</v>
      </c>
      <c r="F245" t="s">
        <v>11</v>
      </c>
      <c r="G245" t="s">
        <v>15</v>
      </c>
      <c r="H245" s="4">
        <v>0.5</v>
      </c>
      <c r="I245">
        <v>8500</v>
      </c>
      <c r="J245" s="4">
        <f>Append1[[#This Row],[Price per Unit]]*Append1[[#This Row],[Units Sold]]</f>
        <v>4250</v>
      </c>
    </row>
    <row r="246" spans="1:10" x14ac:dyDescent="0.35">
      <c r="A246" t="s">
        <v>9</v>
      </c>
      <c r="B246" t="s">
        <v>10</v>
      </c>
      <c r="C246">
        <v>1185732</v>
      </c>
      <c r="D246" s="1">
        <v>44691</v>
      </c>
      <c r="E246" s="1">
        <v>44721</v>
      </c>
      <c r="F246" t="s">
        <v>11</v>
      </c>
      <c r="G246" t="s">
        <v>16</v>
      </c>
      <c r="H246" s="4">
        <v>0.6</v>
      </c>
      <c r="I246">
        <v>8750</v>
      </c>
      <c r="J246" s="4">
        <f>Append1[[#This Row],[Price per Unit]]*Append1[[#This Row],[Units Sold]]</f>
        <v>5250</v>
      </c>
    </row>
    <row r="247" spans="1:10" x14ac:dyDescent="0.35">
      <c r="A247" t="s">
        <v>9</v>
      </c>
      <c r="B247" t="s">
        <v>10</v>
      </c>
      <c r="C247">
        <v>1185732</v>
      </c>
      <c r="D247" s="1">
        <v>44691</v>
      </c>
      <c r="E247" s="1">
        <v>44721</v>
      </c>
      <c r="F247" t="s">
        <v>11</v>
      </c>
      <c r="G247" t="s">
        <v>17</v>
      </c>
      <c r="H247" s="4">
        <v>0.65</v>
      </c>
      <c r="I247">
        <v>10000</v>
      </c>
      <c r="J247" s="4">
        <f>Append1[[#This Row],[Price per Unit]]*Append1[[#This Row],[Units Sold]]</f>
        <v>6500</v>
      </c>
    </row>
    <row r="248" spans="1:10" x14ac:dyDescent="0.35">
      <c r="A248" t="s">
        <v>9</v>
      </c>
      <c r="B248" t="s">
        <v>10</v>
      </c>
      <c r="C248">
        <v>1185732</v>
      </c>
      <c r="D248" s="1">
        <v>44724</v>
      </c>
      <c r="E248" s="1">
        <v>44754</v>
      </c>
      <c r="F248" t="s">
        <v>11</v>
      </c>
      <c r="G248" t="s">
        <v>12</v>
      </c>
      <c r="H248" s="4">
        <v>0.6</v>
      </c>
      <c r="I248">
        <v>12500</v>
      </c>
      <c r="J248" s="4">
        <f>Append1[[#This Row],[Price per Unit]]*Append1[[#This Row],[Units Sold]]</f>
        <v>7500</v>
      </c>
    </row>
    <row r="249" spans="1:10" x14ac:dyDescent="0.35">
      <c r="A249" t="s">
        <v>9</v>
      </c>
      <c r="B249" t="s">
        <v>10</v>
      </c>
      <c r="C249">
        <v>1185732</v>
      </c>
      <c r="D249" s="1">
        <v>44724</v>
      </c>
      <c r="E249" s="1">
        <v>44754</v>
      </c>
      <c r="F249" t="s">
        <v>11</v>
      </c>
      <c r="G249" t="s">
        <v>13</v>
      </c>
      <c r="H249" s="4">
        <v>0.55000000000000004</v>
      </c>
      <c r="I249">
        <v>10000</v>
      </c>
      <c r="J249" s="4">
        <f>Append1[[#This Row],[Price per Unit]]*Append1[[#This Row],[Units Sold]]</f>
        <v>5500</v>
      </c>
    </row>
    <row r="250" spans="1:10" x14ac:dyDescent="0.35">
      <c r="A250" t="s">
        <v>9</v>
      </c>
      <c r="B250" t="s">
        <v>10</v>
      </c>
      <c r="C250">
        <v>1185732</v>
      </c>
      <c r="D250" s="1">
        <v>44724</v>
      </c>
      <c r="E250" s="1">
        <v>44754</v>
      </c>
      <c r="F250" t="s">
        <v>11</v>
      </c>
      <c r="G250" t="s">
        <v>14</v>
      </c>
      <c r="H250" s="4">
        <v>0.5</v>
      </c>
      <c r="I250">
        <v>9250</v>
      </c>
      <c r="J250" s="4">
        <f>Append1[[#This Row],[Price per Unit]]*Append1[[#This Row],[Units Sold]]</f>
        <v>4625</v>
      </c>
    </row>
    <row r="251" spans="1:10" x14ac:dyDescent="0.35">
      <c r="A251" t="s">
        <v>9</v>
      </c>
      <c r="B251" t="s">
        <v>10</v>
      </c>
      <c r="C251">
        <v>1185732</v>
      </c>
      <c r="D251" s="1">
        <v>44724</v>
      </c>
      <c r="E251" s="1">
        <v>44754</v>
      </c>
      <c r="F251" t="s">
        <v>11</v>
      </c>
      <c r="G251" t="s">
        <v>15</v>
      </c>
      <c r="H251" s="4">
        <v>0.5</v>
      </c>
      <c r="I251">
        <v>9000</v>
      </c>
      <c r="J251" s="4">
        <f>Append1[[#This Row],[Price per Unit]]*Append1[[#This Row],[Units Sold]]</f>
        <v>4500</v>
      </c>
    </row>
    <row r="252" spans="1:10" x14ac:dyDescent="0.35">
      <c r="A252" t="s">
        <v>9</v>
      </c>
      <c r="B252" t="s">
        <v>10</v>
      </c>
      <c r="C252">
        <v>1185732</v>
      </c>
      <c r="D252" s="1">
        <v>44724</v>
      </c>
      <c r="E252" s="1">
        <v>44754</v>
      </c>
      <c r="F252" t="s">
        <v>11</v>
      </c>
      <c r="G252" t="s">
        <v>16</v>
      </c>
      <c r="H252" s="4">
        <v>0.6</v>
      </c>
      <c r="I252">
        <v>9000</v>
      </c>
      <c r="J252" s="4">
        <f>Append1[[#This Row],[Price per Unit]]*Append1[[#This Row],[Units Sold]]</f>
        <v>5400</v>
      </c>
    </row>
    <row r="253" spans="1:10" x14ac:dyDescent="0.35">
      <c r="A253" t="s">
        <v>9</v>
      </c>
      <c r="B253" t="s">
        <v>10</v>
      </c>
      <c r="C253">
        <v>1185732</v>
      </c>
      <c r="D253" s="1">
        <v>44724</v>
      </c>
      <c r="E253" s="1">
        <v>44754</v>
      </c>
      <c r="F253" t="s">
        <v>11</v>
      </c>
      <c r="G253" t="s">
        <v>17</v>
      </c>
      <c r="H253" s="4">
        <v>0.65</v>
      </c>
      <c r="I253">
        <v>10500</v>
      </c>
      <c r="J253" s="4">
        <f>Append1[[#This Row],[Price per Unit]]*Append1[[#This Row],[Units Sold]]</f>
        <v>6825</v>
      </c>
    </row>
    <row r="254" spans="1:10" x14ac:dyDescent="0.35">
      <c r="A254" t="s">
        <v>9</v>
      </c>
      <c r="B254" t="s">
        <v>10</v>
      </c>
      <c r="C254">
        <v>1185732</v>
      </c>
      <c r="D254" s="1">
        <v>44752</v>
      </c>
      <c r="E254" s="1">
        <v>44782</v>
      </c>
      <c r="F254" t="s">
        <v>11</v>
      </c>
      <c r="G254" t="s">
        <v>12</v>
      </c>
      <c r="H254" s="4">
        <v>0.6</v>
      </c>
      <c r="I254">
        <v>12750</v>
      </c>
      <c r="J254" s="4">
        <f>Append1[[#This Row],[Price per Unit]]*Append1[[#This Row],[Units Sold]]</f>
        <v>7650</v>
      </c>
    </row>
    <row r="255" spans="1:10" x14ac:dyDescent="0.35">
      <c r="A255" t="s">
        <v>9</v>
      </c>
      <c r="B255" t="s">
        <v>10</v>
      </c>
      <c r="C255">
        <v>1185732</v>
      </c>
      <c r="D255" s="1">
        <v>44752</v>
      </c>
      <c r="E255" s="1">
        <v>44782</v>
      </c>
      <c r="F255" t="s">
        <v>11</v>
      </c>
      <c r="G255" t="s">
        <v>13</v>
      </c>
      <c r="H255" s="4">
        <v>0.55000000000000004</v>
      </c>
      <c r="I255">
        <v>10250</v>
      </c>
      <c r="J255" s="4">
        <f>Append1[[#This Row],[Price per Unit]]*Append1[[#This Row],[Units Sold]]</f>
        <v>5637.5000000000009</v>
      </c>
    </row>
    <row r="256" spans="1:10" x14ac:dyDescent="0.35">
      <c r="A256" t="s">
        <v>9</v>
      </c>
      <c r="B256" t="s">
        <v>10</v>
      </c>
      <c r="C256">
        <v>1185732</v>
      </c>
      <c r="D256" s="1">
        <v>44752</v>
      </c>
      <c r="E256" s="1">
        <v>44782</v>
      </c>
      <c r="F256" t="s">
        <v>11</v>
      </c>
      <c r="G256" t="s">
        <v>14</v>
      </c>
      <c r="H256" s="4">
        <v>0.5</v>
      </c>
      <c r="I256">
        <v>9500</v>
      </c>
      <c r="J256" s="4">
        <f>Append1[[#This Row],[Price per Unit]]*Append1[[#This Row],[Units Sold]]</f>
        <v>4750</v>
      </c>
    </row>
    <row r="257" spans="1:10" x14ac:dyDescent="0.35">
      <c r="A257" t="s">
        <v>9</v>
      </c>
      <c r="B257" t="s">
        <v>10</v>
      </c>
      <c r="C257">
        <v>1185732</v>
      </c>
      <c r="D257" s="1">
        <v>44752</v>
      </c>
      <c r="E257" s="1">
        <v>44782</v>
      </c>
      <c r="F257" t="s">
        <v>11</v>
      </c>
      <c r="G257" t="s">
        <v>15</v>
      </c>
      <c r="H257" s="4">
        <v>0.5</v>
      </c>
      <c r="I257">
        <v>9000</v>
      </c>
      <c r="J257" s="4">
        <f>Append1[[#This Row],[Price per Unit]]*Append1[[#This Row],[Units Sold]]</f>
        <v>4500</v>
      </c>
    </row>
    <row r="258" spans="1:10" x14ac:dyDescent="0.35">
      <c r="A258" t="s">
        <v>9</v>
      </c>
      <c r="B258" t="s">
        <v>10</v>
      </c>
      <c r="C258">
        <v>1185732</v>
      </c>
      <c r="D258" s="1">
        <v>44752</v>
      </c>
      <c r="E258" s="1">
        <v>44782</v>
      </c>
      <c r="F258" t="s">
        <v>11</v>
      </c>
      <c r="G258" t="s">
        <v>16</v>
      </c>
      <c r="H258" s="4">
        <v>0.6</v>
      </c>
      <c r="I258">
        <v>9250</v>
      </c>
      <c r="J258" s="4">
        <f>Append1[[#This Row],[Price per Unit]]*Append1[[#This Row],[Units Sold]]</f>
        <v>5550</v>
      </c>
    </row>
    <row r="259" spans="1:10" x14ac:dyDescent="0.35">
      <c r="A259" t="s">
        <v>9</v>
      </c>
      <c r="B259" t="s">
        <v>10</v>
      </c>
      <c r="C259">
        <v>1185732</v>
      </c>
      <c r="D259" s="1">
        <v>44752</v>
      </c>
      <c r="E259" s="1">
        <v>44782</v>
      </c>
      <c r="F259" t="s">
        <v>11</v>
      </c>
      <c r="G259" t="s">
        <v>17</v>
      </c>
      <c r="H259" s="4">
        <v>0.65</v>
      </c>
      <c r="I259">
        <v>11000</v>
      </c>
      <c r="J259" s="4">
        <f>Append1[[#This Row],[Price per Unit]]*Append1[[#This Row],[Units Sold]]</f>
        <v>7150</v>
      </c>
    </row>
    <row r="260" spans="1:10" x14ac:dyDescent="0.35">
      <c r="A260" t="s">
        <v>9</v>
      </c>
      <c r="B260" t="s">
        <v>10</v>
      </c>
      <c r="C260">
        <v>1185732</v>
      </c>
      <c r="D260" s="1">
        <v>44784</v>
      </c>
      <c r="E260" s="1">
        <v>44814</v>
      </c>
      <c r="F260" t="s">
        <v>11</v>
      </c>
      <c r="G260" t="s">
        <v>12</v>
      </c>
      <c r="H260" s="4">
        <v>0.6</v>
      </c>
      <c r="I260">
        <v>12500</v>
      </c>
      <c r="J260" s="4">
        <f>Append1[[#This Row],[Price per Unit]]*Append1[[#This Row],[Units Sold]]</f>
        <v>7500</v>
      </c>
    </row>
    <row r="261" spans="1:10" x14ac:dyDescent="0.35">
      <c r="A261" t="s">
        <v>9</v>
      </c>
      <c r="B261" t="s">
        <v>10</v>
      </c>
      <c r="C261">
        <v>1185732</v>
      </c>
      <c r="D261" s="1">
        <v>44784</v>
      </c>
      <c r="E261" s="1">
        <v>44814</v>
      </c>
      <c r="F261" t="s">
        <v>11</v>
      </c>
      <c r="G261" t="s">
        <v>13</v>
      </c>
      <c r="H261" s="4">
        <v>0.55000000000000004</v>
      </c>
      <c r="I261">
        <v>10250</v>
      </c>
      <c r="J261" s="4">
        <f>Append1[[#This Row],[Price per Unit]]*Append1[[#This Row],[Units Sold]]</f>
        <v>5637.5000000000009</v>
      </c>
    </row>
    <row r="262" spans="1:10" x14ac:dyDescent="0.35">
      <c r="A262" t="s">
        <v>9</v>
      </c>
      <c r="B262" t="s">
        <v>10</v>
      </c>
      <c r="C262">
        <v>1185732</v>
      </c>
      <c r="D262" s="1">
        <v>44784</v>
      </c>
      <c r="E262" s="1">
        <v>44814</v>
      </c>
      <c r="F262" t="s">
        <v>11</v>
      </c>
      <c r="G262" t="s">
        <v>14</v>
      </c>
      <c r="H262" s="4">
        <v>0.5</v>
      </c>
      <c r="I262">
        <v>9500</v>
      </c>
      <c r="J262" s="4">
        <f>Append1[[#This Row],[Price per Unit]]*Append1[[#This Row],[Units Sold]]</f>
        <v>4750</v>
      </c>
    </row>
    <row r="263" spans="1:10" x14ac:dyDescent="0.35">
      <c r="A263" t="s">
        <v>9</v>
      </c>
      <c r="B263" t="s">
        <v>10</v>
      </c>
      <c r="C263">
        <v>1185732</v>
      </c>
      <c r="D263" s="1">
        <v>44784</v>
      </c>
      <c r="E263" s="1">
        <v>44814</v>
      </c>
      <c r="F263" t="s">
        <v>11</v>
      </c>
      <c r="G263" t="s">
        <v>15</v>
      </c>
      <c r="H263" s="4">
        <v>0.5</v>
      </c>
      <c r="I263">
        <v>9250</v>
      </c>
      <c r="J263" s="4">
        <f>Append1[[#This Row],[Price per Unit]]*Append1[[#This Row],[Units Sold]]</f>
        <v>4625</v>
      </c>
    </row>
    <row r="264" spans="1:10" x14ac:dyDescent="0.35">
      <c r="A264" t="s">
        <v>9</v>
      </c>
      <c r="B264" t="s">
        <v>10</v>
      </c>
      <c r="C264">
        <v>1185732</v>
      </c>
      <c r="D264" s="1">
        <v>44784</v>
      </c>
      <c r="E264" s="1">
        <v>44814</v>
      </c>
      <c r="F264" t="s">
        <v>11</v>
      </c>
      <c r="G264" t="s">
        <v>16</v>
      </c>
      <c r="H264" s="4">
        <v>0.6</v>
      </c>
      <c r="I264">
        <v>9000</v>
      </c>
      <c r="J264" s="4">
        <f>Append1[[#This Row],[Price per Unit]]*Append1[[#This Row],[Units Sold]]</f>
        <v>5400</v>
      </c>
    </row>
    <row r="265" spans="1:10" x14ac:dyDescent="0.35">
      <c r="A265" t="s">
        <v>9</v>
      </c>
      <c r="B265" t="s">
        <v>10</v>
      </c>
      <c r="C265">
        <v>1185732</v>
      </c>
      <c r="D265" s="1">
        <v>44784</v>
      </c>
      <c r="E265" s="1">
        <v>44814</v>
      </c>
      <c r="F265" t="s">
        <v>11</v>
      </c>
      <c r="G265" t="s">
        <v>17</v>
      </c>
      <c r="H265" s="4">
        <v>0.65</v>
      </c>
      <c r="I265">
        <v>10750</v>
      </c>
      <c r="J265" s="4">
        <f>Append1[[#This Row],[Price per Unit]]*Append1[[#This Row],[Units Sold]]</f>
        <v>6987.5</v>
      </c>
    </row>
    <row r="266" spans="1:10" x14ac:dyDescent="0.35">
      <c r="A266" t="s">
        <v>9</v>
      </c>
      <c r="B266" t="s">
        <v>10</v>
      </c>
      <c r="C266">
        <v>1185732</v>
      </c>
      <c r="D266" s="1">
        <v>44814</v>
      </c>
      <c r="E266" s="1">
        <v>44844</v>
      </c>
      <c r="F266" t="s">
        <v>11</v>
      </c>
      <c r="G266" t="s">
        <v>12</v>
      </c>
      <c r="H266" s="4">
        <v>0.6</v>
      </c>
      <c r="I266">
        <v>12000</v>
      </c>
      <c r="J266" s="4">
        <f>Append1[[#This Row],[Price per Unit]]*Append1[[#This Row],[Units Sold]]</f>
        <v>7200</v>
      </c>
    </row>
    <row r="267" spans="1:10" x14ac:dyDescent="0.35">
      <c r="A267" t="s">
        <v>9</v>
      </c>
      <c r="B267" t="s">
        <v>10</v>
      </c>
      <c r="C267">
        <v>1185732</v>
      </c>
      <c r="D267" s="1">
        <v>44814</v>
      </c>
      <c r="E267" s="1">
        <v>44844</v>
      </c>
      <c r="F267" t="s">
        <v>11</v>
      </c>
      <c r="G267" t="s">
        <v>13</v>
      </c>
      <c r="H267" s="4">
        <v>0.55000000000000004</v>
      </c>
      <c r="I267">
        <v>10000</v>
      </c>
      <c r="J267" s="4">
        <f>Append1[[#This Row],[Price per Unit]]*Append1[[#This Row],[Units Sold]]</f>
        <v>5500</v>
      </c>
    </row>
    <row r="268" spans="1:10" x14ac:dyDescent="0.35">
      <c r="A268" t="s">
        <v>9</v>
      </c>
      <c r="B268" t="s">
        <v>10</v>
      </c>
      <c r="C268">
        <v>1185732</v>
      </c>
      <c r="D268" s="1">
        <v>44814</v>
      </c>
      <c r="E268" s="1">
        <v>44844</v>
      </c>
      <c r="F268" t="s">
        <v>11</v>
      </c>
      <c r="G268" t="s">
        <v>14</v>
      </c>
      <c r="H268" s="4">
        <v>0.5</v>
      </c>
      <c r="I268">
        <v>9250</v>
      </c>
      <c r="J268" s="4">
        <f>Append1[[#This Row],[Price per Unit]]*Append1[[#This Row],[Units Sold]]</f>
        <v>4625</v>
      </c>
    </row>
    <row r="269" spans="1:10" x14ac:dyDescent="0.35">
      <c r="A269" t="s">
        <v>9</v>
      </c>
      <c r="B269" t="s">
        <v>10</v>
      </c>
      <c r="C269">
        <v>1185732</v>
      </c>
      <c r="D269" s="1">
        <v>44814</v>
      </c>
      <c r="E269" s="1">
        <v>44844</v>
      </c>
      <c r="F269" t="s">
        <v>11</v>
      </c>
      <c r="G269" t="s">
        <v>15</v>
      </c>
      <c r="H269" s="4">
        <v>0.5</v>
      </c>
      <c r="I269">
        <v>9000</v>
      </c>
      <c r="J269" s="4">
        <f>Append1[[#This Row],[Price per Unit]]*Append1[[#This Row],[Units Sold]]</f>
        <v>4500</v>
      </c>
    </row>
    <row r="270" spans="1:10" x14ac:dyDescent="0.35">
      <c r="A270" t="s">
        <v>9</v>
      </c>
      <c r="B270" t="s">
        <v>10</v>
      </c>
      <c r="C270">
        <v>1185732</v>
      </c>
      <c r="D270" s="1">
        <v>44814</v>
      </c>
      <c r="E270" s="1">
        <v>44844</v>
      </c>
      <c r="F270" t="s">
        <v>11</v>
      </c>
      <c r="G270" t="s">
        <v>16</v>
      </c>
      <c r="H270" s="4">
        <v>0.6</v>
      </c>
      <c r="I270">
        <v>9000</v>
      </c>
      <c r="J270" s="4">
        <f>Append1[[#This Row],[Price per Unit]]*Append1[[#This Row],[Units Sold]]</f>
        <v>5400</v>
      </c>
    </row>
    <row r="271" spans="1:10" x14ac:dyDescent="0.35">
      <c r="A271" t="s">
        <v>9</v>
      </c>
      <c r="B271" t="s">
        <v>10</v>
      </c>
      <c r="C271">
        <v>1185732</v>
      </c>
      <c r="D271" s="1">
        <v>44814</v>
      </c>
      <c r="E271" s="1">
        <v>44844</v>
      </c>
      <c r="F271" t="s">
        <v>11</v>
      </c>
      <c r="G271" t="s">
        <v>17</v>
      </c>
      <c r="H271" s="4">
        <v>0.65</v>
      </c>
      <c r="I271">
        <v>10000</v>
      </c>
      <c r="J271" s="4">
        <f>Append1[[#This Row],[Price per Unit]]*Append1[[#This Row],[Units Sold]]</f>
        <v>6500</v>
      </c>
    </row>
    <row r="272" spans="1:10" x14ac:dyDescent="0.35">
      <c r="A272" t="s">
        <v>9</v>
      </c>
      <c r="B272" t="s">
        <v>10</v>
      </c>
      <c r="C272">
        <v>1185732</v>
      </c>
      <c r="D272" s="1">
        <v>44846</v>
      </c>
      <c r="E272" s="1">
        <v>44876</v>
      </c>
      <c r="F272" t="s">
        <v>11</v>
      </c>
      <c r="G272" t="s">
        <v>12</v>
      </c>
      <c r="H272" s="4">
        <v>0.65</v>
      </c>
      <c r="I272">
        <v>11750</v>
      </c>
      <c r="J272" s="4">
        <f>Append1[[#This Row],[Price per Unit]]*Append1[[#This Row],[Units Sold]]</f>
        <v>7637.5</v>
      </c>
    </row>
    <row r="273" spans="1:10" x14ac:dyDescent="0.35">
      <c r="A273" t="s">
        <v>9</v>
      </c>
      <c r="B273" t="s">
        <v>10</v>
      </c>
      <c r="C273">
        <v>1185732</v>
      </c>
      <c r="D273" s="1">
        <v>44846</v>
      </c>
      <c r="E273" s="1">
        <v>44876</v>
      </c>
      <c r="F273" t="s">
        <v>11</v>
      </c>
      <c r="G273" t="s">
        <v>13</v>
      </c>
      <c r="H273" s="4">
        <v>0.55000000000000004</v>
      </c>
      <c r="I273">
        <v>10000</v>
      </c>
      <c r="J273" s="4">
        <f>Append1[[#This Row],[Price per Unit]]*Append1[[#This Row],[Units Sold]]</f>
        <v>5500</v>
      </c>
    </row>
    <row r="274" spans="1:10" x14ac:dyDescent="0.35">
      <c r="A274" t="s">
        <v>9</v>
      </c>
      <c r="B274" t="s">
        <v>10</v>
      </c>
      <c r="C274">
        <v>1185732</v>
      </c>
      <c r="D274" s="1">
        <v>44846</v>
      </c>
      <c r="E274" s="1">
        <v>44876</v>
      </c>
      <c r="F274" t="s">
        <v>11</v>
      </c>
      <c r="G274" t="s">
        <v>14</v>
      </c>
      <c r="H274" s="4">
        <v>0.55000000000000004</v>
      </c>
      <c r="I274">
        <v>9000</v>
      </c>
      <c r="J274" s="4">
        <f>Append1[[#This Row],[Price per Unit]]*Append1[[#This Row],[Units Sold]]</f>
        <v>4950</v>
      </c>
    </row>
    <row r="275" spans="1:10" x14ac:dyDescent="0.35">
      <c r="A275" t="s">
        <v>9</v>
      </c>
      <c r="B275" t="s">
        <v>10</v>
      </c>
      <c r="C275">
        <v>1185732</v>
      </c>
      <c r="D275" s="1">
        <v>44846</v>
      </c>
      <c r="E275" s="1">
        <v>44876</v>
      </c>
      <c r="F275" t="s">
        <v>11</v>
      </c>
      <c r="G275" t="s">
        <v>15</v>
      </c>
      <c r="H275" s="4">
        <v>0.55000000000000004</v>
      </c>
      <c r="I275">
        <v>8750</v>
      </c>
      <c r="J275" s="4">
        <f>Append1[[#This Row],[Price per Unit]]*Append1[[#This Row],[Units Sold]]</f>
        <v>4812.5</v>
      </c>
    </row>
    <row r="276" spans="1:10" x14ac:dyDescent="0.35">
      <c r="A276" t="s">
        <v>9</v>
      </c>
      <c r="B276" t="s">
        <v>10</v>
      </c>
      <c r="C276">
        <v>1185732</v>
      </c>
      <c r="D276" s="1">
        <v>44846</v>
      </c>
      <c r="E276" s="1">
        <v>44876</v>
      </c>
      <c r="F276" t="s">
        <v>11</v>
      </c>
      <c r="G276" t="s">
        <v>16</v>
      </c>
      <c r="H276" s="4">
        <v>0.65</v>
      </c>
      <c r="I276">
        <v>8750</v>
      </c>
      <c r="J276" s="4">
        <f>Append1[[#This Row],[Price per Unit]]*Append1[[#This Row],[Units Sold]]</f>
        <v>5687.5</v>
      </c>
    </row>
    <row r="277" spans="1:10" x14ac:dyDescent="0.35">
      <c r="A277" t="s">
        <v>9</v>
      </c>
      <c r="B277" t="s">
        <v>10</v>
      </c>
      <c r="C277">
        <v>1185732</v>
      </c>
      <c r="D277" s="1">
        <v>44846</v>
      </c>
      <c r="E277" s="1">
        <v>44876</v>
      </c>
      <c r="F277" t="s">
        <v>11</v>
      </c>
      <c r="G277" t="s">
        <v>17</v>
      </c>
      <c r="H277" s="4">
        <v>0.7</v>
      </c>
      <c r="I277">
        <v>10000</v>
      </c>
      <c r="J277" s="4">
        <f>Append1[[#This Row],[Price per Unit]]*Append1[[#This Row],[Units Sold]]</f>
        <v>7000</v>
      </c>
    </row>
    <row r="278" spans="1:10" x14ac:dyDescent="0.35">
      <c r="A278" t="s">
        <v>9</v>
      </c>
      <c r="B278" t="s">
        <v>10</v>
      </c>
      <c r="C278">
        <v>1185732</v>
      </c>
      <c r="D278" s="1">
        <v>44876</v>
      </c>
      <c r="E278" s="1">
        <v>44906</v>
      </c>
      <c r="F278" t="s">
        <v>11</v>
      </c>
      <c r="G278" t="s">
        <v>12</v>
      </c>
      <c r="H278" s="4">
        <v>0.65</v>
      </c>
      <c r="I278">
        <v>11500</v>
      </c>
      <c r="J278" s="4">
        <f>Append1[[#This Row],[Price per Unit]]*Append1[[#This Row],[Units Sold]]</f>
        <v>7475</v>
      </c>
    </row>
    <row r="279" spans="1:10" x14ac:dyDescent="0.35">
      <c r="A279" t="s">
        <v>9</v>
      </c>
      <c r="B279" t="s">
        <v>10</v>
      </c>
      <c r="C279">
        <v>1185732</v>
      </c>
      <c r="D279" s="1">
        <v>44876</v>
      </c>
      <c r="E279" s="1">
        <v>44906</v>
      </c>
      <c r="F279" t="s">
        <v>11</v>
      </c>
      <c r="G279" t="s">
        <v>13</v>
      </c>
      <c r="H279" s="4">
        <v>0.55000000000000004</v>
      </c>
      <c r="I279">
        <v>9750</v>
      </c>
      <c r="J279" s="4">
        <f>Append1[[#This Row],[Price per Unit]]*Append1[[#This Row],[Units Sold]]</f>
        <v>5362.5</v>
      </c>
    </row>
    <row r="280" spans="1:10" x14ac:dyDescent="0.35">
      <c r="A280" t="s">
        <v>9</v>
      </c>
      <c r="B280" t="s">
        <v>10</v>
      </c>
      <c r="C280">
        <v>1185732</v>
      </c>
      <c r="D280" s="1">
        <v>44876</v>
      </c>
      <c r="E280" s="1">
        <v>44906</v>
      </c>
      <c r="F280" t="s">
        <v>11</v>
      </c>
      <c r="G280" t="s">
        <v>14</v>
      </c>
      <c r="H280" s="4">
        <v>0.55000000000000004</v>
      </c>
      <c r="I280">
        <v>9200</v>
      </c>
      <c r="J280" s="4">
        <f>Append1[[#This Row],[Price per Unit]]*Append1[[#This Row],[Units Sold]]</f>
        <v>5060</v>
      </c>
    </row>
    <row r="281" spans="1:10" x14ac:dyDescent="0.35">
      <c r="A281" t="s">
        <v>9</v>
      </c>
      <c r="B281" t="s">
        <v>10</v>
      </c>
      <c r="C281">
        <v>1185732</v>
      </c>
      <c r="D281" s="1">
        <v>44876</v>
      </c>
      <c r="E281" s="1">
        <v>44906</v>
      </c>
      <c r="F281" t="s">
        <v>11</v>
      </c>
      <c r="G281" t="s">
        <v>15</v>
      </c>
      <c r="H281" s="4">
        <v>0.55000000000000004</v>
      </c>
      <c r="I281">
        <v>9000</v>
      </c>
      <c r="J281" s="4">
        <f>Append1[[#This Row],[Price per Unit]]*Append1[[#This Row],[Units Sold]]</f>
        <v>4950</v>
      </c>
    </row>
    <row r="282" spans="1:10" x14ac:dyDescent="0.35">
      <c r="A282" t="s">
        <v>9</v>
      </c>
      <c r="B282" t="s">
        <v>10</v>
      </c>
      <c r="C282">
        <v>1185732</v>
      </c>
      <c r="D282" s="1">
        <v>44876</v>
      </c>
      <c r="E282" s="1">
        <v>44906</v>
      </c>
      <c r="F282" t="s">
        <v>11</v>
      </c>
      <c r="G282" t="s">
        <v>16</v>
      </c>
      <c r="H282" s="4">
        <v>0.65</v>
      </c>
      <c r="I282">
        <v>8750</v>
      </c>
      <c r="J282" s="4">
        <f>Append1[[#This Row],[Price per Unit]]*Append1[[#This Row],[Units Sold]]</f>
        <v>5687.5</v>
      </c>
    </row>
    <row r="283" spans="1:10" x14ac:dyDescent="0.35">
      <c r="A283" t="s">
        <v>9</v>
      </c>
      <c r="B283" t="s">
        <v>10</v>
      </c>
      <c r="C283">
        <v>1185732</v>
      </c>
      <c r="D283" s="1">
        <v>44876</v>
      </c>
      <c r="E283" s="1">
        <v>44906</v>
      </c>
      <c r="F283" t="s">
        <v>11</v>
      </c>
      <c r="G283" t="s">
        <v>17</v>
      </c>
      <c r="H283" s="4">
        <v>0.7</v>
      </c>
      <c r="I283">
        <v>9750</v>
      </c>
      <c r="J283" s="4">
        <f>Append1[[#This Row],[Price per Unit]]*Append1[[#This Row],[Units Sold]]</f>
        <v>6825</v>
      </c>
    </row>
    <row r="284" spans="1:10" x14ac:dyDescent="0.35">
      <c r="A284" t="s">
        <v>9</v>
      </c>
      <c r="B284" t="s">
        <v>10</v>
      </c>
      <c r="C284">
        <v>1185732</v>
      </c>
      <c r="D284" s="1">
        <v>44905</v>
      </c>
      <c r="E284" s="1">
        <v>44935</v>
      </c>
      <c r="F284" t="s">
        <v>11</v>
      </c>
      <c r="G284" t="s">
        <v>12</v>
      </c>
      <c r="H284" s="4">
        <v>0.65</v>
      </c>
      <c r="I284">
        <v>12000</v>
      </c>
      <c r="J284" s="4">
        <f>Append1[[#This Row],[Price per Unit]]*Append1[[#This Row],[Units Sold]]</f>
        <v>7800</v>
      </c>
    </row>
    <row r="285" spans="1:10" x14ac:dyDescent="0.35">
      <c r="A285" t="s">
        <v>9</v>
      </c>
      <c r="B285" t="s">
        <v>10</v>
      </c>
      <c r="C285">
        <v>1185732</v>
      </c>
      <c r="D285" s="1">
        <v>44905</v>
      </c>
      <c r="E285" s="1">
        <v>44935</v>
      </c>
      <c r="F285" t="s">
        <v>11</v>
      </c>
      <c r="G285" t="s">
        <v>13</v>
      </c>
      <c r="H285" s="4">
        <v>0.55000000000000004</v>
      </c>
      <c r="I285">
        <v>10000</v>
      </c>
      <c r="J285" s="4">
        <f>Append1[[#This Row],[Price per Unit]]*Append1[[#This Row],[Units Sold]]</f>
        <v>5500</v>
      </c>
    </row>
    <row r="286" spans="1:10" x14ac:dyDescent="0.35">
      <c r="A286" t="s">
        <v>9</v>
      </c>
      <c r="B286" t="s">
        <v>10</v>
      </c>
      <c r="C286">
        <v>1185732</v>
      </c>
      <c r="D286" s="1">
        <v>44905</v>
      </c>
      <c r="E286" s="1">
        <v>44935</v>
      </c>
      <c r="F286" t="s">
        <v>11</v>
      </c>
      <c r="G286" t="s">
        <v>14</v>
      </c>
      <c r="H286" s="4">
        <v>0.55000000000000004</v>
      </c>
      <c r="I286">
        <v>9500</v>
      </c>
      <c r="J286" s="4">
        <f>Append1[[#This Row],[Price per Unit]]*Append1[[#This Row],[Units Sold]]</f>
        <v>5225</v>
      </c>
    </row>
    <row r="287" spans="1:10" x14ac:dyDescent="0.35">
      <c r="A287" t="s">
        <v>9</v>
      </c>
      <c r="B287" t="s">
        <v>10</v>
      </c>
      <c r="C287">
        <v>1185732</v>
      </c>
      <c r="D287" s="1">
        <v>44905</v>
      </c>
      <c r="E287" s="1">
        <v>44935</v>
      </c>
      <c r="F287" t="s">
        <v>11</v>
      </c>
      <c r="G287" t="s">
        <v>15</v>
      </c>
      <c r="H287" s="4">
        <v>0.55000000000000004</v>
      </c>
      <c r="I287">
        <v>9000</v>
      </c>
      <c r="J287" s="4">
        <f>Append1[[#This Row],[Price per Unit]]*Append1[[#This Row],[Units Sold]]</f>
        <v>4950</v>
      </c>
    </row>
    <row r="288" spans="1:10" x14ac:dyDescent="0.35">
      <c r="A288" t="s">
        <v>9</v>
      </c>
      <c r="B288" t="s">
        <v>10</v>
      </c>
      <c r="C288">
        <v>1185732</v>
      </c>
      <c r="D288" s="1">
        <v>44905</v>
      </c>
      <c r="E288" s="1">
        <v>44935</v>
      </c>
      <c r="F288" t="s">
        <v>11</v>
      </c>
      <c r="G288" t="s">
        <v>16</v>
      </c>
      <c r="H288" s="4">
        <v>0.65</v>
      </c>
      <c r="I288">
        <v>9000</v>
      </c>
      <c r="J288" s="4">
        <f>Append1[[#This Row],[Price per Unit]]*Append1[[#This Row],[Units Sold]]</f>
        <v>5850</v>
      </c>
    </row>
    <row r="289" spans="1:10" x14ac:dyDescent="0.35">
      <c r="A289" t="s">
        <v>9</v>
      </c>
      <c r="B289" t="s">
        <v>10</v>
      </c>
      <c r="C289">
        <v>1185732</v>
      </c>
      <c r="D289" s="1">
        <v>44905</v>
      </c>
      <c r="E289" s="1">
        <v>44935</v>
      </c>
      <c r="F289" t="s">
        <v>11</v>
      </c>
      <c r="G289" t="s">
        <v>17</v>
      </c>
      <c r="H289" s="4">
        <v>0.7</v>
      </c>
      <c r="I289">
        <v>10000</v>
      </c>
      <c r="J289" s="4">
        <f>Append1[[#This Row],[Price per Unit]]*Append1[[#This Row],[Units Sold]]</f>
        <v>7000</v>
      </c>
    </row>
    <row r="290" spans="1:10" x14ac:dyDescent="0.35">
      <c r="D290" s="1"/>
      <c r="E290" s="1"/>
      <c r="H290" s="4">
        <f>SUBTOTAL(101,Append1[Price per Unit])</f>
        <v>0.52309027777777839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2877-B1C4-4125-9042-67DAE69C2626}">
  <sheetPr>
    <tabColor theme="3" tint="0.499984740745262"/>
  </sheetPr>
  <dimension ref="A1:H65"/>
  <sheetViews>
    <sheetView workbookViewId="0">
      <selection activeCell="J13" sqref="J13"/>
    </sheetView>
  </sheetViews>
  <sheetFormatPr defaultRowHeight="14.5" x14ac:dyDescent="0.35"/>
  <cols>
    <col min="1" max="1" width="17.81640625" bestFit="1" customWidth="1"/>
    <col min="2" max="2" width="15.36328125" bestFit="1" customWidth="1"/>
    <col min="3" max="3" width="14.36328125" bestFit="1" customWidth="1"/>
    <col min="4" max="4" width="15.6328125" bestFit="1" customWidth="1"/>
    <col min="5" max="5" width="16" bestFit="1" customWidth="1"/>
    <col min="6" max="7" width="10.90625" bestFit="1" customWidth="1"/>
    <col min="8" max="8" width="14.36328125" bestFit="1" customWidth="1"/>
    <col min="9" max="9" width="15.36328125" bestFit="1" customWidth="1"/>
    <col min="10" max="10" width="20" bestFit="1" customWidth="1"/>
    <col min="11" max="12" width="14.36328125" bestFit="1" customWidth="1"/>
    <col min="13" max="13" width="16" bestFit="1" customWidth="1"/>
    <col min="14" max="14" width="20.1796875" bestFit="1" customWidth="1"/>
    <col min="15" max="15" width="18.90625" bestFit="1" customWidth="1"/>
  </cols>
  <sheetData>
    <row r="1" spans="1:8" ht="15" customHeight="1" x14ac:dyDescent="0.35">
      <c r="A1" s="47" t="s">
        <v>31</v>
      </c>
      <c r="B1" s="48"/>
      <c r="D1" s="47" t="s">
        <v>33</v>
      </c>
      <c r="E1" s="48"/>
      <c r="G1" s="47" t="s">
        <v>35</v>
      </c>
      <c r="H1" s="48"/>
    </row>
    <row r="2" spans="1:8" ht="14" customHeight="1" thickBot="1" x14ac:dyDescent="0.4">
      <c r="A2" s="49"/>
      <c r="B2" s="50"/>
      <c r="D2" s="49"/>
      <c r="E2" s="50"/>
      <c r="G2" s="49"/>
      <c r="H2" s="50"/>
    </row>
    <row r="3" spans="1:8" ht="15" thickBot="1" x14ac:dyDescent="0.4">
      <c r="A3" s="12" t="s">
        <v>6</v>
      </c>
      <c r="B3" s="13" t="s">
        <v>28</v>
      </c>
      <c r="D3" s="12" t="s">
        <v>0</v>
      </c>
      <c r="E3" s="13" t="s">
        <v>28</v>
      </c>
      <c r="G3" s="12" t="s">
        <v>49</v>
      </c>
      <c r="H3" s="13" t="s">
        <v>28</v>
      </c>
    </row>
    <row r="4" spans="1:8" x14ac:dyDescent="0.35">
      <c r="A4" s="14" t="s">
        <v>12</v>
      </c>
      <c r="B4" s="16">
        <v>228445</v>
      </c>
      <c r="D4" s="14" t="s">
        <v>18</v>
      </c>
      <c r="E4" s="16">
        <v>331750</v>
      </c>
      <c r="G4" s="14" t="s">
        <v>38</v>
      </c>
      <c r="H4" s="16">
        <v>82062.5</v>
      </c>
    </row>
    <row r="5" spans="1:8" x14ac:dyDescent="0.35">
      <c r="A5" s="18" t="s">
        <v>17</v>
      </c>
      <c r="B5" s="17">
        <v>233775</v>
      </c>
      <c r="D5" s="18" t="s">
        <v>21</v>
      </c>
      <c r="E5" s="17">
        <v>238850</v>
      </c>
      <c r="G5" s="18" t="s">
        <v>39</v>
      </c>
      <c r="H5" s="17">
        <v>78562.5</v>
      </c>
    </row>
    <row r="6" spans="1:8" x14ac:dyDescent="0.35">
      <c r="A6" s="18" t="s">
        <v>13</v>
      </c>
      <c r="B6" s="17">
        <v>214362.5</v>
      </c>
      <c r="D6" s="18" t="s">
        <v>24</v>
      </c>
      <c r="E6" s="17">
        <v>250650</v>
      </c>
      <c r="G6" s="18" t="s">
        <v>30</v>
      </c>
      <c r="H6" s="17">
        <v>83562.5</v>
      </c>
    </row>
    <row r="7" spans="1:8" ht="15" thickBot="1" x14ac:dyDescent="0.4">
      <c r="A7" s="18" t="s">
        <v>15</v>
      </c>
      <c r="B7" s="17">
        <v>166550</v>
      </c>
      <c r="D7" s="19" t="s">
        <v>9</v>
      </c>
      <c r="E7" s="17">
        <v>391767.5</v>
      </c>
      <c r="G7" s="18" t="s">
        <v>40</v>
      </c>
      <c r="H7" s="17">
        <v>89637.5</v>
      </c>
    </row>
    <row r="8" spans="1:8" ht="14.5" customHeight="1" thickBot="1" x14ac:dyDescent="0.4">
      <c r="A8" s="18" t="s">
        <v>16</v>
      </c>
      <c r="B8" s="17">
        <v>181250</v>
      </c>
      <c r="D8" s="13" t="s">
        <v>27</v>
      </c>
      <c r="E8" s="15">
        <v>1213017.5</v>
      </c>
      <c r="G8" s="18" t="s">
        <v>41</v>
      </c>
      <c r="H8" s="17">
        <v>98707.5</v>
      </c>
    </row>
    <row r="9" spans="1:8" ht="14.5" customHeight="1" thickBot="1" x14ac:dyDescent="0.4">
      <c r="A9" s="19" t="s">
        <v>14</v>
      </c>
      <c r="B9" s="17">
        <v>188635</v>
      </c>
      <c r="G9" s="18" t="s">
        <v>42</v>
      </c>
      <c r="H9" s="17">
        <v>110125</v>
      </c>
    </row>
    <row r="10" spans="1:8" ht="15" thickBot="1" x14ac:dyDescent="0.4">
      <c r="A10" s="13" t="s">
        <v>27</v>
      </c>
      <c r="B10" s="15">
        <v>1213017.5</v>
      </c>
      <c r="G10" s="18" t="s">
        <v>43</v>
      </c>
      <c r="H10" s="17">
        <v>114325</v>
      </c>
    </row>
    <row r="11" spans="1:8" ht="16" customHeight="1" thickBot="1" x14ac:dyDescent="0.4">
      <c r="G11" s="18" t="s">
        <v>44</v>
      </c>
      <c r="H11" s="17">
        <v>115950</v>
      </c>
    </row>
    <row r="12" spans="1:8" ht="14.5" customHeight="1" x14ac:dyDescent="0.35">
      <c r="A12" s="47" t="s">
        <v>32</v>
      </c>
      <c r="B12" s="48"/>
      <c r="D12" s="51" t="s">
        <v>34</v>
      </c>
      <c r="E12" s="52"/>
      <c r="G12" s="18" t="s">
        <v>45</v>
      </c>
      <c r="H12" s="17">
        <v>109637.5</v>
      </c>
    </row>
    <row r="13" spans="1:8" ht="14.5" customHeight="1" thickBot="1" x14ac:dyDescent="0.4">
      <c r="A13" s="49"/>
      <c r="B13" s="50"/>
      <c r="D13" s="53"/>
      <c r="E13" s="54"/>
      <c r="G13" s="18" t="s">
        <v>46</v>
      </c>
      <c r="H13" s="17">
        <v>105600</v>
      </c>
    </row>
    <row r="14" spans="1:8" ht="15" thickBot="1" x14ac:dyDescent="0.4">
      <c r="A14" s="12" t="s">
        <v>5</v>
      </c>
      <c r="B14" s="13" t="s">
        <v>28</v>
      </c>
      <c r="D14" s="12" t="s">
        <v>6</v>
      </c>
      <c r="E14" s="13" t="s">
        <v>29</v>
      </c>
      <c r="G14" s="18" t="s">
        <v>47</v>
      </c>
      <c r="H14" s="17">
        <v>109547.5</v>
      </c>
    </row>
    <row r="15" spans="1:8" ht="15" thickBot="1" x14ac:dyDescent="0.4">
      <c r="A15" s="14" t="s">
        <v>11</v>
      </c>
      <c r="B15" s="16">
        <v>391767.5</v>
      </c>
      <c r="D15" s="14" t="s">
        <v>12</v>
      </c>
      <c r="E15" s="28">
        <v>461900</v>
      </c>
      <c r="G15" s="19" t="s">
        <v>48</v>
      </c>
      <c r="H15" s="17">
        <v>115300</v>
      </c>
    </row>
    <row r="16" spans="1:8" ht="15" thickBot="1" x14ac:dyDescent="0.4">
      <c r="A16" s="18" t="s">
        <v>23</v>
      </c>
      <c r="B16" s="17">
        <v>238850</v>
      </c>
      <c r="D16" s="18" t="s">
        <v>17</v>
      </c>
      <c r="E16" s="29">
        <v>392750</v>
      </c>
      <c r="G16" s="13" t="s">
        <v>27</v>
      </c>
      <c r="H16" s="15">
        <v>1213017.5</v>
      </c>
    </row>
    <row r="17" spans="1:8" ht="15" thickBot="1" x14ac:dyDescent="0.4">
      <c r="A17" s="19" t="s">
        <v>20</v>
      </c>
      <c r="B17" s="17">
        <v>582400</v>
      </c>
      <c r="D17" s="18" t="s">
        <v>13</v>
      </c>
      <c r="E17" s="29">
        <v>413750</v>
      </c>
    </row>
    <row r="18" spans="1:8" ht="15" thickBot="1" x14ac:dyDescent="0.4">
      <c r="A18" s="13" t="s">
        <v>27</v>
      </c>
      <c r="B18" s="15">
        <v>1213017.5</v>
      </c>
      <c r="D18" s="18" t="s">
        <v>15</v>
      </c>
      <c r="E18" s="29">
        <v>338000</v>
      </c>
    </row>
    <row r="19" spans="1:8" ht="14.5" customHeight="1" x14ac:dyDescent="0.35">
      <c r="D19" s="18" t="s">
        <v>16</v>
      </c>
      <c r="E19" s="29">
        <v>318750</v>
      </c>
    </row>
    <row r="20" spans="1:8" ht="14.5" customHeight="1" thickBot="1" x14ac:dyDescent="0.4">
      <c r="D20" s="19" t="s">
        <v>14</v>
      </c>
      <c r="E20" s="29">
        <v>384700</v>
      </c>
    </row>
    <row r="21" spans="1:8" ht="15" thickBot="1" x14ac:dyDescent="0.4">
      <c r="D21" s="13" t="s">
        <v>27</v>
      </c>
      <c r="E21" s="30">
        <v>2309850</v>
      </c>
    </row>
    <row r="22" spans="1:8" ht="15" thickBot="1" x14ac:dyDescent="0.4"/>
    <row r="23" spans="1:8" ht="15" thickBot="1" x14ac:dyDescent="0.4">
      <c r="A23" s="55" t="s">
        <v>36</v>
      </c>
      <c r="B23" s="56"/>
      <c r="C23" s="56"/>
      <c r="D23" s="56"/>
      <c r="E23" s="56"/>
      <c r="F23" s="56"/>
      <c r="G23" s="56"/>
      <c r="H23" s="57"/>
    </row>
    <row r="24" spans="1:8" ht="15" thickBot="1" x14ac:dyDescent="0.4">
      <c r="A24" s="58"/>
      <c r="B24" s="59"/>
      <c r="C24" s="59"/>
      <c r="D24" s="59"/>
      <c r="E24" s="59"/>
      <c r="F24" s="59"/>
      <c r="G24" s="59"/>
      <c r="H24" s="60"/>
    </row>
    <row r="25" spans="1:8" ht="15" thickBot="1" x14ac:dyDescent="0.4">
      <c r="A25" s="12" t="s">
        <v>28</v>
      </c>
      <c r="B25" s="12" t="s">
        <v>6</v>
      </c>
      <c r="C25" s="24"/>
      <c r="D25" s="25"/>
      <c r="E25" s="25"/>
      <c r="F25" s="25"/>
      <c r="G25" s="25"/>
      <c r="H25" s="26"/>
    </row>
    <row r="26" spans="1:8" ht="15" thickBot="1" x14ac:dyDescent="0.4">
      <c r="A26" s="12" t="s">
        <v>5</v>
      </c>
      <c r="B26" s="24" t="s">
        <v>12</v>
      </c>
      <c r="C26" s="25" t="s">
        <v>17</v>
      </c>
      <c r="D26" s="25" t="s">
        <v>13</v>
      </c>
      <c r="E26" s="25" t="s">
        <v>15</v>
      </c>
      <c r="F26" s="25" t="s">
        <v>16</v>
      </c>
      <c r="G26" s="26" t="s">
        <v>14</v>
      </c>
      <c r="H26" s="13" t="s">
        <v>27</v>
      </c>
    </row>
    <row r="27" spans="1:8" x14ac:dyDescent="0.35">
      <c r="A27" s="14" t="s">
        <v>11</v>
      </c>
      <c r="B27" s="20">
        <v>84432.5</v>
      </c>
      <c r="C27" s="21">
        <v>74287.5</v>
      </c>
      <c r="D27" s="21">
        <v>62350</v>
      </c>
      <c r="E27" s="21">
        <v>51937.5</v>
      </c>
      <c r="F27" s="21">
        <v>65075</v>
      </c>
      <c r="G27" s="21">
        <v>53685</v>
      </c>
      <c r="H27" s="22">
        <v>391767.5</v>
      </c>
    </row>
    <row r="28" spans="1:8" x14ac:dyDescent="0.35">
      <c r="A28" s="18" t="s">
        <v>23</v>
      </c>
      <c r="B28" s="27">
        <v>39525</v>
      </c>
      <c r="C28" s="4">
        <v>47300</v>
      </c>
      <c r="D28" s="4">
        <v>45387.5</v>
      </c>
      <c r="E28" s="4">
        <v>33737.5</v>
      </c>
      <c r="F28" s="4">
        <v>31762.5</v>
      </c>
      <c r="G28" s="4">
        <v>41137.5</v>
      </c>
      <c r="H28" s="8">
        <v>238850</v>
      </c>
    </row>
    <row r="29" spans="1:8" ht="15" thickBot="1" x14ac:dyDescent="0.4">
      <c r="A29" s="19" t="s">
        <v>20</v>
      </c>
      <c r="B29" s="27">
        <v>104487.5</v>
      </c>
      <c r="C29" s="4">
        <v>112187.5</v>
      </c>
      <c r="D29" s="4">
        <v>106625</v>
      </c>
      <c r="E29" s="4">
        <v>80875</v>
      </c>
      <c r="F29" s="4">
        <v>84412.5</v>
      </c>
      <c r="G29" s="4">
        <v>93812.5</v>
      </c>
      <c r="H29" s="8">
        <v>582400</v>
      </c>
    </row>
    <row r="30" spans="1:8" ht="15" thickBot="1" x14ac:dyDescent="0.4">
      <c r="A30" s="13" t="s">
        <v>27</v>
      </c>
      <c r="B30" s="23">
        <v>228445</v>
      </c>
      <c r="C30" s="10">
        <v>233775</v>
      </c>
      <c r="D30" s="10">
        <v>214362.5</v>
      </c>
      <c r="E30" s="10">
        <v>166550</v>
      </c>
      <c r="F30" s="10">
        <v>181250</v>
      </c>
      <c r="G30" s="10">
        <v>188635</v>
      </c>
      <c r="H30" s="9">
        <v>1213017.5</v>
      </c>
    </row>
    <row r="33" spans="1:4" ht="15" thickBot="1" x14ac:dyDescent="0.4"/>
    <row r="34" spans="1:4" ht="15" thickBot="1" x14ac:dyDescent="0.4"/>
    <row r="35" spans="1:4" ht="15" thickBot="1" x14ac:dyDescent="0.4">
      <c r="A35" s="11" t="s">
        <v>2</v>
      </c>
      <c r="B35" s="34" t="s">
        <v>37</v>
      </c>
      <c r="C35" s="34" t="s">
        <v>28</v>
      </c>
      <c r="D35" s="31" t="s">
        <v>29</v>
      </c>
    </row>
    <row r="36" spans="1:4" x14ac:dyDescent="0.35">
      <c r="A36" s="7">
        <v>1128299</v>
      </c>
      <c r="B36" s="20">
        <v>331750</v>
      </c>
      <c r="C36" s="36">
        <v>0.27349152011409561</v>
      </c>
      <c r="D36" s="37">
        <v>544750</v>
      </c>
    </row>
    <row r="37" spans="1:4" x14ac:dyDescent="0.35">
      <c r="A37" s="7">
        <v>1185732</v>
      </c>
      <c r="B37" s="27">
        <v>391767.5</v>
      </c>
      <c r="C37" s="38">
        <v>0.32296937183511365</v>
      </c>
      <c r="D37" s="32">
        <v>706600</v>
      </c>
    </row>
    <row r="38" spans="1:4" x14ac:dyDescent="0.35">
      <c r="A38" s="7">
        <v>1189833</v>
      </c>
      <c r="B38" s="27">
        <v>250650</v>
      </c>
      <c r="C38" s="38">
        <v>0.20663345747278997</v>
      </c>
      <c r="D38" s="32">
        <v>492500</v>
      </c>
    </row>
    <row r="39" spans="1:4" ht="15" thickBot="1" x14ac:dyDescent="0.4">
      <c r="A39" s="7">
        <v>1197831</v>
      </c>
      <c r="B39" s="27">
        <v>238850</v>
      </c>
      <c r="C39" s="38">
        <v>0.19690565057800072</v>
      </c>
      <c r="D39" s="32">
        <v>566000</v>
      </c>
    </row>
    <row r="40" spans="1:4" ht="15" thickBot="1" x14ac:dyDescent="0.4">
      <c r="A40" s="13" t="s">
        <v>27</v>
      </c>
      <c r="B40" s="23">
        <v>1213017.5</v>
      </c>
      <c r="C40" s="35">
        <v>1</v>
      </c>
      <c r="D40" s="33">
        <v>2309850</v>
      </c>
    </row>
    <row r="43" spans="1:4" ht="15" thickBot="1" x14ac:dyDescent="0.4"/>
    <row r="44" spans="1:4" ht="15" thickBot="1" x14ac:dyDescent="0.4"/>
    <row r="48" spans="1:4" ht="15" thickBot="1" x14ac:dyDescent="0.4"/>
    <row r="49" ht="15" thickBot="1" x14ac:dyDescent="0.4"/>
    <row r="53" ht="15" thickBot="1" x14ac:dyDescent="0.4"/>
    <row r="54" ht="15" thickBot="1" x14ac:dyDescent="0.4"/>
    <row r="58" ht="15" thickBot="1" x14ac:dyDescent="0.4"/>
    <row r="59" ht="15" thickBot="1" x14ac:dyDescent="0.4"/>
    <row r="63" ht="15" thickBot="1" x14ac:dyDescent="0.4"/>
    <row r="64" ht="15" thickBot="1" x14ac:dyDescent="0.4"/>
    <row r="65" ht="15" thickBot="1" x14ac:dyDescent="0.4"/>
  </sheetData>
  <mergeCells count="6">
    <mergeCell ref="D1:E2"/>
    <mergeCell ref="D12:E13"/>
    <mergeCell ref="G1:H2"/>
    <mergeCell ref="A23:H24"/>
    <mergeCell ref="A1:B2"/>
    <mergeCell ref="A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1EC9-87B1-4BAB-96CD-CE4891C3FEA9}">
  <sheetPr>
    <tabColor theme="8" tint="-0.249977111117893"/>
  </sheetPr>
  <dimension ref="A1:Y47"/>
  <sheetViews>
    <sheetView showGridLines="0" tabSelected="1" zoomScale="90" zoomScaleNormal="90" workbookViewId="0">
      <selection activeCell="Z39" sqref="Z39"/>
    </sheetView>
  </sheetViews>
  <sheetFormatPr defaultRowHeight="14.5" x14ac:dyDescent="0.35"/>
  <cols>
    <col min="1" max="1" width="1.453125" customWidth="1"/>
    <col min="9" max="9" width="1.36328125" customWidth="1"/>
    <col min="17" max="17" width="1.36328125" customWidth="1"/>
    <col min="23" max="24" width="8.7265625" customWidth="1"/>
    <col min="25" max="25" width="1.36328125" customWidth="1"/>
  </cols>
  <sheetData>
    <row r="1" spans="1:25" ht="8" customHeight="1" x14ac:dyDescent="0.35">
      <c r="A1" s="6"/>
      <c r="B1" s="6"/>
      <c r="C1" s="6"/>
      <c r="D1" s="6"/>
      <c r="E1" s="6"/>
      <c r="F1" s="6"/>
      <c r="G1" s="6"/>
      <c r="H1" s="6"/>
      <c r="I1" s="6"/>
      <c r="J1" s="6"/>
      <c r="K1" s="6"/>
      <c r="L1" s="6"/>
      <c r="M1" s="6"/>
      <c r="N1" s="6"/>
      <c r="O1" s="6"/>
      <c r="P1" s="6"/>
      <c r="Q1" s="6"/>
      <c r="R1" s="6"/>
      <c r="S1" s="6"/>
      <c r="T1" s="6"/>
      <c r="U1" s="6"/>
      <c r="V1" s="6"/>
      <c r="W1" s="6"/>
      <c r="X1" s="6"/>
      <c r="Y1" s="6"/>
    </row>
    <row r="2" spans="1:25" x14ac:dyDescent="0.35">
      <c r="A2" s="6"/>
      <c r="B2" s="6"/>
      <c r="C2" s="6"/>
      <c r="D2" s="6"/>
      <c r="E2" s="6"/>
      <c r="F2" s="6"/>
      <c r="G2" s="6"/>
      <c r="H2" s="6"/>
      <c r="I2" s="6"/>
      <c r="J2" s="6"/>
      <c r="K2" s="6"/>
      <c r="L2" s="6"/>
      <c r="M2" s="6"/>
      <c r="N2" s="6"/>
      <c r="O2" s="6"/>
      <c r="P2" s="6"/>
      <c r="Q2" s="6"/>
      <c r="R2" s="6"/>
      <c r="S2" s="6"/>
      <c r="T2" s="6"/>
      <c r="U2" s="6"/>
      <c r="V2" s="6"/>
      <c r="W2" s="6"/>
      <c r="X2" s="6"/>
      <c r="Y2" s="6"/>
    </row>
    <row r="3" spans="1:25" x14ac:dyDescent="0.35">
      <c r="A3" s="6"/>
      <c r="B3" s="6"/>
      <c r="C3" s="6"/>
      <c r="D3" s="6"/>
      <c r="E3" s="6"/>
      <c r="F3" s="6"/>
      <c r="G3" s="6"/>
      <c r="H3" s="6"/>
      <c r="I3" s="6"/>
      <c r="J3" s="6"/>
      <c r="K3" s="6"/>
      <c r="L3" s="6"/>
      <c r="M3" s="6"/>
      <c r="N3" s="6"/>
      <c r="O3" s="6"/>
      <c r="P3" s="6"/>
      <c r="Q3" s="6"/>
      <c r="R3" s="6"/>
      <c r="S3" s="6"/>
      <c r="T3" s="6"/>
      <c r="U3" s="6"/>
      <c r="V3" s="6"/>
      <c r="W3" s="6"/>
      <c r="X3" s="6"/>
      <c r="Y3" s="6"/>
    </row>
    <row r="4" spans="1:25" x14ac:dyDescent="0.35">
      <c r="A4" s="6"/>
      <c r="B4" s="6"/>
      <c r="C4" s="6"/>
      <c r="D4" s="6"/>
      <c r="E4" s="6"/>
      <c r="F4" s="6"/>
      <c r="G4" s="6"/>
      <c r="H4" s="6"/>
      <c r="I4" s="6"/>
      <c r="J4" s="6"/>
      <c r="K4" s="6"/>
      <c r="L4" s="6"/>
      <c r="M4" s="6"/>
      <c r="N4" s="6"/>
      <c r="O4" s="6"/>
      <c r="P4" s="6"/>
      <c r="Q4" s="6"/>
      <c r="R4" s="6"/>
      <c r="S4" s="6"/>
      <c r="T4" s="6"/>
      <c r="U4" s="6"/>
      <c r="V4" s="6"/>
      <c r="W4" s="6"/>
      <c r="X4" s="6"/>
      <c r="Y4" s="6"/>
    </row>
    <row r="5" spans="1:25" x14ac:dyDescent="0.35">
      <c r="A5" s="6"/>
      <c r="B5" s="6"/>
      <c r="C5" s="6"/>
      <c r="D5" s="6"/>
      <c r="E5" s="6"/>
      <c r="F5" s="6"/>
      <c r="G5" s="6"/>
      <c r="H5" s="6"/>
      <c r="I5" s="6"/>
      <c r="J5" s="6"/>
      <c r="K5" s="6"/>
      <c r="L5" s="6"/>
      <c r="M5" s="6"/>
      <c r="N5" s="6"/>
      <c r="O5" s="6"/>
      <c r="P5" s="6"/>
      <c r="Q5" s="6"/>
      <c r="R5" s="6"/>
      <c r="S5" s="6"/>
      <c r="T5" s="6"/>
      <c r="U5" s="6"/>
      <c r="V5" s="6"/>
      <c r="W5" s="6"/>
      <c r="X5" s="6"/>
      <c r="Y5" s="6"/>
    </row>
    <row r="6" spans="1:25" x14ac:dyDescent="0.35">
      <c r="A6" s="6"/>
      <c r="B6" s="6"/>
      <c r="C6" s="6"/>
      <c r="D6" s="6"/>
      <c r="E6" s="6"/>
      <c r="F6" s="6"/>
      <c r="G6" s="6"/>
      <c r="H6" s="6"/>
      <c r="I6" s="6"/>
      <c r="J6" s="6"/>
      <c r="K6" s="6"/>
      <c r="L6" s="6"/>
      <c r="M6" s="6"/>
      <c r="N6" s="6"/>
      <c r="O6" s="6"/>
      <c r="P6" s="6"/>
      <c r="Q6" s="6"/>
      <c r="R6" s="6"/>
      <c r="S6" s="6"/>
      <c r="T6" s="6"/>
      <c r="U6" s="6"/>
      <c r="V6" s="6"/>
      <c r="W6" s="6"/>
      <c r="X6" s="6"/>
      <c r="Y6" s="6"/>
    </row>
    <row r="7" spans="1:25" ht="8" customHeight="1" x14ac:dyDescent="0.35">
      <c r="A7" s="6"/>
      <c r="B7" s="6"/>
      <c r="C7" s="6"/>
      <c r="D7" s="6"/>
      <c r="E7" s="6"/>
      <c r="F7" s="6"/>
      <c r="G7" s="6"/>
      <c r="H7" s="6"/>
      <c r="I7" s="6"/>
      <c r="J7" s="6"/>
      <c r="K7" s="6"/>
      <c r="L7" s="6"/>
      <c r="M7" s="6"/>
      <c r="N7" s="6"/>
      <c r="O7" s="6"/>
      <c r="P7" s="6"/>
      <c r="Q7" s="6"/>
      <c r="R7" s="6"/>
      <c r="S7" s="6"/>
      <c r="T7" s="6"/>
      <c r="U7" s="6"/>
      <c r="V7" s="6"/>
      <c r="W7" s="6"/>
      <c r="X7" s="6"/>
      <c r="Y7" s="6"/>
    </row>
    <row r="8" spans="1:25" x14ac:dyDescent="0.35">
      <c r="A8" s="6"/>
      <c r="B8" s="6"/>
      <c r="C8" s="6"/>
      <c r="D8" s="6"/>
      <c r="E8" s="6"/>
      <c r="F8" s="6"/>
      <c r="G8" s="6"/>
      <c r="H8" s="6"/>
      <c r="I8" s="6"/>
      <c r="J8" s="6"/>
      <c r="K8" s="6"/>
      <c r="L8" s="6"/>
      <c r="M8" s="6"/>
      <c r="N8" s="6"/>
      <c r="O8" s="6"/>
      <c r="P8" s="6"/>
      <c r="Q8" s="6"/>
      <c r="R8" s="6"/>
      <c r="S8" s="6"/>
      <c r="T8" s="6"/>
      <c r="U8" s="6"/>
      <c r="V8" s="6"/>
      <c r="W8" s="6"/>
      <c r="X8" s="6"/>
      <c r="Y8" s="6"/>
    </row>
    <row r="9" spans="1:25" x14ac:dyDescent="0.35">
      <c r="A9" s="6"/>
      <c r="B9" s="6"/>
      <c r="C9" s="6"/>
      <c r="D9" s="6"/>
      <c r="E9" s="6"/>
      <c r="F9" s="6"/>
      <c r="G9" s="6"/>
      <c r="H9" s="6"/>
      <c r="I9" s="6"/>
      <c r="J9" s="6"/>
      <c r="K9" s="6"/>
      <c r="L9" s="6"/>
      <c r="M9" s="6"/>
      <c r="N9" s="6"/>
      <c r="O9" s="6"/>
      <c r="P9" s="6"/>
      <c r="Q9" s="6"/>
      <c r="R9" s="6"/>
      <c r="S9" s="6"/>
      <c r="T9" s="6"/>
      <c r="U9" s="6"/>
      <c r="V9" s="6"/>
      <c r="W9" s="6"/>
      <c r="X9" s="6"/>
      <c r="Y9" s="6"/>
    </row>
    <row r="10" spans="1:25" x14ac:dyDescent="0.35">
      <c r="A10" s="6"/>
      <c r="B10" s="6"/>
      <c r="C10" s="6"/>
      <c r="D10" s="6"/>
      <c r="E10" s="6"/>
      <c r="F10" s="6"/>
      <c r="G10" s="6"/>
      <c r="H10" s="6"/>
      <c r="I10" s="6"/>
      <c r="J10" s="6"/>
      <c r="K10" s="6"/>
      <c r="L10" s="6"/>
      <c r="M10" s="6"/>
      <c r="N10" s="6"/>
      <c r="O10" s="6"/>
      <c r="P10" s="6"/>
      <c r="Q10" s="6"/>
      <c r="R10" s="6"/>
      <c r="S10" s="6"/>
      <c r="T10" s="6"/>
      <c r="U10" s="6"/>
      <c r="V10" s="6"/>
      <c r="W10" s="6"/>
      <c r="X10" s="6"/>
      <c r="Y10" s="6"/>
    </row>
    <row r="11" spans="1:25" x14ac:dyDescent="0.35">
      <c r="A11" s="6"/>
      <c r="B11" s="6"/>
      <c r="C11" s="6"/>
      <c r="D11" s="6"/>
      <c r="E11" s="6"/>
      <c r="F11" s="6"/>
      <c r="G11" s="6"/>
      <c r="H11" s="6"/>
      <c r="I11" s="6"/>
      <c r="J11" s="6"/>
      <c r="K11" s="6"/>
      <c r="L11" s="6"/>
      <c r="M11" s="6"/>
      <c r="N11" s="6"/>
      <c r="O11" s="6"/>
      <c r="P11" s="6"/>
      <c r="Q11" s="6"/>
      <c r="R11" s="6"/>
      <c r="S11" s="6"/>
      <c r="T11" s="6"/>
      <c r="U11" s="6"/>
      <c r="V11" s="6"/>
      <c r="W11" s="6"/>
      <c r="X11" s="6"/>
      <c r="Y11" s="6"/>
    </row>
    <row r="12" spans="1:25" ht="8" customHeight="1" x14ac:dyDescent="0.35">
      <c r="A12" s="39"/>
      <c r="B12" s="40"/>
      <c r="C12" s="40"/>
      <c r="D12" s="40"/>
      <c r="E12" s="40"/>
      <c r="F12" s="40"/>
      <c r="G12" s="40"/>
      <c r="H12" s="40"/>
      <c r="I12" s="40"/>
      <c r="J12" s="40"/>
      <c r="K12" s="40"/>
      <c r="L12" s="40"/>
      <c r="M12" s="40"/>
      <c r="N12" s="40"/>
      <c r="O12" s="40"/>
      <c r="P12" s="40"/>
      <c r="Q12" s="40"/>
      <c r="R12" s="40"/>
      <c r="S12" s="40"/>
      <c r="T12" s="40"/>
      <c r="U12" s="40"/>
      <c r="V12" s="40"/>
      <c r="W12" s="40"/>
      <c r="X12" s="41"/>
      <c r="Y12" s="6"/>
    </row>
    <row r="13" spans="1:25" x14ac:dyDescent="0.35">
      <c r="A13" s="42"/>
      <c r="B13" s="6"/>
      <c r="C13" s="6"/>
      <c r="D13" s="6"/>
      <c r="E13" s="6"/>
      <c r="F13" s="6"/>
      <c r="G13" s="6"/>
      <c r="H13" s="6"/>
      <c r="I13" s="6"/>
      <c r="J13" s="6"/>
      <c r="K13" s="6"/>
      <c r="L13" s="6"/>
      <c r="M13" s="6"/>
      <c r="N13" s="6"/>
      <c r="O13" s="6"/>
      <c r="P13" s="6"/>
      <c r="Q13" s="6"/>
      <c r="R13" s="6"/>
      <c r="S13" s="6"/>
      <c r="T13" s="6"/>
      <c r="U13" s="6"/>
      <c r="V13" s="6"/>
      <c r="W13" s="6"/>
      <c r="X13" s="43"/>
      <c r="Y13" s="6"/>
    </row>
    <row r="14" spans="1:25" x14ac:dyDescent="0.35">
      <c r="A14" s="42"/>
      <c r="B14" s="6"/>
      <c r="C14" s="6"/>
      <c r="D14" s="6"/>
      <c r="E14" s="6"/>
      <c r="F14" s="6"/>
      <c r="G14" s="6"/>
      <c r="H14" s="6"/>
      <c r="I14" s="6"/>
      <c r="J14" s="6"/>
      <c r="K14" s="6"/>
      <c r="L14" s="6"/>
      <c r="M14" s="6"/>
      <c r="N14" s="6"/>
      <c r="O14" s="6"/>
      <c r="P14" s="6"/>
      <c r="Q14" s="6"/>
      <c r="R14" s="6"/>
      <c r="S14" s="6"/>
      <c r="T14" s="6"/>
      <c r="U14" s="6"/>
      <c r="V14" s="6"/>
      <c r="W14" s="6"/>
      <c r="X14" s="43"/>
      <c r="Y14" s="6"/>
    </row>
    <row r="15" spans="1:25" x14ac:dyDescent="0.35">
      <c r="A15" s="44"/>
      <c r="B15" s="45"/>
      <c r="C15" s="45"/>
      <c r="D15" s="45"/>
      <c r="E15" s="45"/>
      <c r="F15" s="45"/>
      <c r="G15" s="45"/>
      <c r="H15" s="45"/>
      <c r="I15" s="45"/>
      <c r="J15" s="45"/>
      <c r="K15" s="45"/>
      <c r="L15" s="45"/>
      <c r="M15" s="45"/>
      <c r="N15" s="45"/>
      <c r="O15" s="45"/>
      <c r="P15" s="45"/>
      <c r="Q15" s="45"/>
      <c r="R15" s="45"/>
      <c r="S15" s="45"/>
      <c r="T15" s="45"/>
      <c r="U15" s="45"/>
      <c r="V15" s="45"/>
      <c r="W15" s="45"/>
      <c r="X15" s="46"/>
      <c r="Y15" s="6"/>
    </row>
    <row r="16" spans="1:25" x14ac:dyDescent="0.35">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35">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35">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35">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35">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35">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35">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35">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35">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35">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35">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35">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35">
      <c r="A28" s="6"/>
      <c r="B28" s="6"/>
      <c r="C28" s="6"/>
      <c r="D28" s="6"/>
      <c r="E28" s="6"/>
      <c r="F28" s="6"/>
      <c r="G28" s="6"/>
      <c r="H28" s="6"/>
      <c r="I28" s="6"/>
      <c r="J28" s="6"/>
      <c r="K28" s="6"/>
      <c r="L28" s="6"/>
      <c r="M28" s="6"/>
      <c r="N28" s="6"/>
      <c r="O28" s="6"/>
      <c r="P28" s="6"/>
      <c r="Q28" s="6"/>
      <c r="R28" s="6"/>
      <c r="S28" s="6"/>
      <c r="T28" s="6"/>
      <c r="U28" s="6"/>
      <c r="V28" s="6"/>
      <c r="W28" s="6"/>
      <c r="X28" s="6"/>
      <c r="Y28" s="6"/>
    </row>
    <row r="29" spans="1:25" x14ac:dyDescent="0.35">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35">
      <c r="A30" s="6"/>
      <c r="B30" s="6"/>
      <c r="C30" s="6"/>
      <c r="D30" s="6"/>
      <c r="E30" s="6"/>
      <c r="F30" s="6"/>
      <c r="G30" s="6"/>
      <c r="H30" s="6"/>
      <c r="I30" s="6"/>
      <c r="J30" s="6"/>
      <c r="K30" s="6"/>
      <c r="L30" s="6"/>
      <c r="M30" s="6"/>
      <c r="N30" s="6"/>
      <c r="O30" s="6"/>
      <c r="P30" s="6"/>
      <c r="Q30" s="6"/>
      <c r="R30" s="6"/>
      <c r="S30" s="6"/>
      <c r="T30" s="6"/>
      <c r="U30" s="6"/>
      <c r="V30" s="6"/>
      <c r="W30" s="6"/>
      <c r="X30" s="6"/>
      <c r="Y30" s="6"/>
    </row>
    <row r="31" spans="1:25" ht="8"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35">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35">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5">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5">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35">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35">
      <c r="A37" s="6"/>
      <c r="B37" s="6"/>
      <c r="C37" s="6"/>
      <c r="D37" s="6"/>
      <c r="E37" s="6"/>
      <c r="F37" s="6"/>
      <c r="G37" s="6"/>
      <c r="H37" s="6"/>
      <c r="I37" s="6"/>
      <c r="J37" s="6"/>
      <c r="K37" s="6"/>
      <c r="L37" s="6"/>
      <c r="M37" s="6"/>
      <c r="N37" s="6"/>
      <c r="O37" s="6"/>
      <c r="P37" s="6"/>
      <c r="Q37" s="6"/>
      <c r="R37" s="6"/>
      <c r="S37" s="6"/>
      <c r="T37" s="6"/>
      <c r="U37" s="6"/>
      <c r="V37" s="6"/>
      <c r="W37" s="6"/>
      <c r="X37" s="6"/>
      <c r="Y37" s="6"/>
    </row>
    <row r="38" spans="1:25" x14ac:dyDescent="0.35">
      <c r="A38" s="6"/>
      <c r="B38" s="6"/>
      <c r="C38" s="6"/>
      <c r="D38" s="6"/>
      <c r="E38" s="6"/>
      <c r="F38" s="6"/>
      <c r="G38" s="6"/>
      <c r="H38" s="6"/>
      <c r="I38" s="6"/>
      <c r="J38" s="6"/>
      <c r="K38" s="6"/>
      <c r="L38" s="6"/>
      <c r="M38" s="6"/>
      <c r="N38" s="6"/>
      <c r="O38" s="6"/>
      <c r="P38" s="6"/>
      <c r="Q38" s="6"/>
      <c r="R38" s="6"/>
      <c r="S38" s="6"/>
      <c r="T38" s="6"/>
      <c r="U38" s="6"/>
      <c r="V38" s="6"/>
      <c r="W38" s="6"/>
      <c r="X38" s="6"/>
      <c r="Y38" s="6"/>
    </row>
    <row r="39" spans="1:25" x14ac:dyDescent="0.35">
      <c r="A39" s="6"/>
      <c r="B39" s="6"/>
      <c r="C39" s="6"/>
      <c r="D39" s="6"/>
      <c r="E39" s="6"/>
      <c r="F39" s="6"/>
      <c r="G39" s="6"/>
      <c r="H39" s="6"/>
      <c r="I39" s="6"/>
      <c r="J39" s="6"/>
      <c r="K39" s="6"/>
      <c r="L39" s="6"/>
      <c r="M39" s="6"/>
      <c r="N39" s="6"/>
      <c r="O39" s="6"/>
      <c r="P39" s="6"/>
      <c r="Q39" s="6"/>
      <c r="R39" s="6"/>
      <c r="S39" s="6"/>
      <c r="T39" s="6"/>
      <c r="U39" s="6"/>
      <c r="V39" s="6"/>
      <c r="W39" s="6"/>
      <c r="X39" s="6"/>
      <c r="Y39" s="6"/>
    </row>
    <row r="40" spans="1:25" x14ac:dyDescent="0.35">
      <c r="A40" s="6"/>
      <c r="B40" s="6"/>
      <c r="C40" s="6"/>
      <c r="D40" s="6"/>
      <c r="E40" s="6"/>
      <c r="F40" s="6"/>
      <c r="G40" s="6"/>
      <c r="H40" s="6"/>
      <c r="I40" s="6"/>
      <c r="J40" s="6"/>
      <c r="K40" s="6"/>
      <c r="L40" s="6"/>
      <c r="M40" s="6"/>
      <c r="N40" s="6"/>
      <c r="O40" s="6"/>
      <c r="P40" s="6"/>
      <c r="Q40" s="6"/>
      <c r="R40" s="6"/>
      <c r="S40" s="6"/>
      <c r="T40" s="6"/>
      <c r="U40" s="6"/>
      <c r="V40" s="6"/>
      <c r="W40" s="6"/>
      <c r="X40" s="6"/>
      <c r="Y40" s="6"/>
    </row>
    <row r="41" spans="1:25" x14ac:dyDescent="0.35">
      <c r="A41" s="6"/>
      <c r="B41" s="6"/>
      <c r="C41" s="6"/>
      <c r="D41" s="6"/>
      <c r="E41" s="6"/>
      <c r="F41" s="6"/>
      <c r="G41" s="6"/>
      <c r="H41" s="6"/>
      <c r="I41" s="6"/>
      <c r="J41" s="6"/>
      <c r="K41" s="6"/>
      <c r="L41" s="6"/>
      <c r="M41" s="6"/>
      <c r="N41" s="6"/>
      <c r="O41" s="6"/>
      <c r="P41" s="6"/>
      <c r="Q41" s="6"/>
      <c r="R41" s="6"/>
      <c r="S41" s="6"/>
      <c r="T41" s="6"/>
      <c r="U41" s="6"/>
      <c r="V41" s="6"/>
      <c r="W41" s="6"/>
      <c r="X41" s="6"/>
      <c r="Y41" s="6"/>
    </row>
    <row r="42" spans="1:25" x14ac:dyDescent="0.35">
      <c r="A42" s="6"/>
      <c r="B42" s="6"/>
      <c r="C42" s="6"/>
      <c r="D42" s="6"/>
      <c r="E42" s="6"/>
      <c r="F42" s="6"/>
      <c r="G42" s="6"/>
      <c r="H42" s="6"/>
      <c r="I42" s="6"/>
      <c r="J42" s="6"/>
      <c r="K42" s="6"/>
      <c r="L42" s="6"/>
      <c r="M42" s="6"/>
      <c r="N42" s="6"/>
      <c r="O42" s="6"/>
      <c r="P42" s="6"/>
      <c r="Q42" s="6"/>
      <c r="R42" s="6"/>
      <c r="S42" s="6"/>
      <c r="T42" s="6"/>
      <c r="U42" s="6"/>
      <c r="V42" s="6"/>
      <c r="W42" s="6"/>
      <c r="X42" s="6"/>
      <c r="Y42" s="6"/>
    </row>
    <row r="43" spans="1:25" x14ac:dyDescent="0.35">
      <c r="A43" s="6"/>
      <c r="B43" s="6"/>
      <c r="C43" s="6"/>
      <c r="D43" s="6"/>
      <c r="E43" s="6"/>
      <c r="F43" s="6"/>
      <c r="G43" s="6"/>
      <c r="H43" s="6"/>
      <c r="I43" s="6"/>
      <c r="J43" s="6"/>
      <c r="K43" s="6"/>
      <c r="L43" s="6"/>
      <c r="M43" s="6"/>
      <c r="N43" s="6"/>
      <c r="O43" s="6"/>
      <c r="P43" s="6"/>
      <c r="Q43" s="6"/>
      <c r="R43" s="6"/>
      <c r="S43" s="6"/>
      <c r="T43" s="6"/>
      <c r="U43" s="6"/>
      <c r="V43" s="6"/>
      <c r="W43" s="6"/>
      <c r="X43" s="6"/>
      <c r="Y43" s="6"/>
    </row>
    <row r="44" spans="1:25" x14ac:dyDescent="0.35">
      <c r="A44" s="6"/>
      <c r="B44" s="6"/>
      <c r="C44" s="6"/>
      <c r="D44" s="6"/>
      <c r="E44" s="6"/>
      <c r="F44" s="6"/>
      <c r="G44" s="6"/>
      <c r="H44" s="6"/>
      <c r="I44" s="6"/>
      <c r="J44" s="6"/>
      <c r="K44" s="6"/>
      <c r="L44" s="6"/>
      <c r="M44" s="6"/>
      <c r="N44" s="6"/>
      <c r="O44" s="6"/>
      <c r="P44" s="6"/>
      <c r="Q44" s="6"/>
      <c r="R44" s="6"/>
      <c r="S44" s="6"/>
      <c r="T44" s="6"/>
      <c r="U44" s="6"/>
      <c r="V44" s="6"/>
      <c r="W44" s="6"/>
      <c r="X44" s="6"/>
      <c r="Y44" s="6"/>
    </row>
    <row r="45" spans="1:25" x14ac:dyDescent="0.35">
      <c r="A45" s="6"/>
      <c r="B45" s="6"/>
      <c r="C45" s="6"/>
      <c r="D45" s="6"/>
      <c r="E45" s="6"/>
      <c r="F45" s="6"/>
      <c r="G45" s="6"/>
      <c r="H45" s="6"/>
      <c r="I45" s="6"/>
      <c r="J45" s="6"/>
      <c r="K45" s="6"/>
      <c r="L45" s="6"/>
      <c r="M45" s="6"/>
      <c r="N45" s="6"/>
      <c r="O45" s="6"/>
      <c r="P45" s="6"/>
      <c r="Q45" s="6"/>
      <c r="R45" s="6"/>
      <c r="S45" s="6"/>
      <c r="T45" s="6"/>
      <c r="U45" s="6"/>
      <c r="V45" s="6"/>
      <c r="W45" s="6"/>
      <c r="X45" s="6"/>
      <c r="Y45" s="6"/>
    </row>
    <row r="46" spans="1:25" x14ac:dyDescent="0.35">
      <c r="A46" s="6"/>
      <c r="B46" s="6"/>
      <c r="C46" s="6"/>
      <c r="D46" s="6"/>
      <c r="E46" s="6"/>
      <c r="F46" s="6"/>
      <c r="G46" s="6"/>
      <c r="H46" s="6"/>
      <c r="I46" s="6"/>
      <c r="J46" s="6"/>
      <c r="K46" s="6"/>
      <c r="L46" s="6"/>
      <c r="M46" s="6"/>
      <c r="N46" s="6"/>
      <c r="O46" s="6"/>
      <c r="P46" s="6"/>
      <c r="Q46" s="6"/>
      <c r="R46" s="6"/>
      <c r="S46" s="6"/>
      <c r="T46" s="6"/>
      <c r="U46" s="6"/>
      <c r="V46" s="6"/>
      <c r="W46" s="6"/>
      <c r="X46" s="6"/>
      <c r="Y46" s="6"/>
    </row>
    <row r="47" spans="1:25" ht="8" customHeight="1" x14ac:dyDescent="0.35">
      <c r="A47" s="6"/>
      <c r="B47" s="6"/>
      <c r="C47" s="6"/>
      <c r="D47" s="6"/>
      <c r="E47" s="6"/>
      <c r="F47" s="6"/>
      <c r="G47" s="6"/>
      <c r="H47" s="6"/>
      <c r="I47" s="6"/>
      <c r="J47" s="6"/>
      <c r="K47" s="6"/>
      <c r="L47" s="6"/>
      <c r="M47" s="6"/>
      <c r="N47" s="6"/>
      <c r="O47" s="6"/>
      <c r="P47" s="6"/>
      <c r="Q47" s="6"/>
      <c r="R47" s="6"/>
      <c r="S47" s="6"/>
      <c r="T47" s="6"/>
      <c r="U47" s="6"/>
      <c r="V47" s="6"/>
      <c r="W47" s="6"/>
      <c r="X47" s="6"/>
      <c r="Y47"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BAC4D9-A5E1-454B-9A46-675126470D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AppendQuery</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Nafiz Newaz</dc:creator>
  <cp:lastModifiedBy>Nafiz Newaz</cp:lastModifiedBy>
  <dcterms:created xsi:type="dcterms:W3CDTF">2026-04-23T05:54:08Z</dcterms:created>
  <dcterms:modified xsi:type="dcterms:W3CDTF">2026-05-10T10:33:45Z</dcterms:modified>
</cp:coreProperties>
</file>